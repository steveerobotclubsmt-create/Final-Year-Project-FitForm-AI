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Steve\Downloads\"/>
    </mc:Choice>
  </mc:AlternateContent>
  <xr:revisionPtr revIDLastSave="0" documentId="13_ncr:1_{D32A9EF9-52CE-4D74-BA78-BB8CA234E62A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Gantt Chart (daily)" sheetId="1" r:id="rId1"/>
    <sheet name="Lists" sheetId="2" state="hidden" r:id="rId2"/>
    <sheet name="Outline vs Actual" sheetId="3" r:id="rId3"/>
  </sheets>
  <definedNames>
    <definedName name="_xlnm.Print_Area" localSheetId="0">'Gantt Chart (daily)'!$A$1:$CH$101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L92" i="1" l="1"/>
  <c r="CL91" i="1"/>
  <c r="CH91" i="1"/>
  <c r="CG91" i="1"/>
  <c r="CF91" i="1"/>
  <c r="CE91" i="1"/>
  <c r="CD91" i="1"/>
  <c r="CC91" i="1"/>
  <c r="CB91" i="1"/>
  <c r="CA91" i="1"/>
  <c r="BZ91" i="1"/>
  <c r="BY91" i="1"/>
  <c r="BX91" i="1"/>
  <c r="BW91" i="1"/>
  <c r="BV91" i="1"/>
  <c r="BU91" i="1"/>
  <c r="BT91" i="1"/>
  <c r="BS91" i="1"/>
  <c r="BR91" i="1"/>
  <c r="BQ91" i="1"/>
  <c r="BP91" i="1"/>
  <c r="BO91" i="1"/>
  <c r="BN91" i="1"/>
  <c r="BM91" i="1"/>
  <c r="BL91" i="1"/>
  <c r="BK91" i="1"/>
  <c r="BJ91" i="1"/>
  <c r="BI91" i="1"/>
  <c r="BH91" i="1"/>
  <c r="BG91" i="1"/>
  <c r="BF91" i="1"/>
  <c r="BE91" i="1"/>
  <c r="BD91" i="1"/>
  <c r="BC91" i="1"/>
  <c r="BB91" i="1"/>
  <c r="BA91" i="1"/>
  <c r="AZ91" i="1"/>
  <c r="AY91" i="1"/>
  <c r="AX91" i="1"/>
  <c r="AW91" i="1"/>
  <c r="AV91" i="1"/>
  <c r="AU91" i="1"/>
  <c r="AT91" i="1"/>
  <c r="AS91" i="1"/>
  <c r="CL90" i="1"/>
  <c r="CH90" i="1"/>
  <c r="CG90" i="1"/>
  <c r="CF90" i="1"/>
  <c r="CE90" i="1"/>
  <c r="CD90" i="1"/>
  <c r="CC90" i="1"/>
  <c r="CB90" i="1"/>
  <c r="CA90" i="1"/>
  <c r="BZ90" i="1"/>
  <c r="BY90" i="1"/>
  <c r="BX90" i="1"/>
  <c r="BW90" i="1"/>
  <c r="BV90" i="1"/>
  <c r="BU90" i="1"/>
  <c r="BT90" i="1"/>
  <c r="BS90" i="1"/>
  <c r="BR90" i="1"/>
  <c r="BQ90" i="1"/>
  <c r="BP90" i="1"/>
  <c r="BO90" i="1"/>
  <c r="BN90" i="1"/>
  <c r="BM90" i="1"/>
  <c r="CL89" i="1"/>
  <c r="CH89" i="1"/>
  <c r="CG89" i="1"/>
  <c r="CF89" i="1"/>
  <c r="CL88" i="1"/>
  <c r="CL87" i="1"/>
  <c r="CL86" i="1"/>
  <c r="CL85" i="1"/>
  <c r="CL84" i="1"/>
  <c r="CM82" i="1"/>
  <c r="CM81" i="1" s="1"/>
  <c r="CL82" i="1"/>
  <c r="F81" i="1"/>
  <c r="CM80" i="1"/>
  <c r="CL80" i="1"/>
  <c r="E80" i="1"/>
  <c r="CM79" i="1"/>
  <c r="CM77" i="1" s="1"/>
  <c r="CL79" i="1"/>
  <c r="CL77" i="1" s="1"/>
  <c r="C77" i="1" s="1"/>
  <c r="E79" i="1"/>
  <c r="CM78" i="1"/>
  <c r="CL78" i="1"/>
  <c r="E78" i="1"/>
  <c r="F77" i="1"/>
  <c r="CM76" i="1"/>
  <c r="CL76" i="1"/>
  <c r="E76" i="1"/>
  <c r="CM75" i="1"/>
  <c r="CL75" i="1"/>
  <c r="E75" i="1"/>
  <c r="CM74" i="1"/>
  <c r="CL74" i="1"/>
  <c r="E74" i="1"/>
  <c r="CM73" i="1"/>
  <c r="CL73" i="1"/>
  <c r="CM72" i="1"/>
  <c r="F72" i="1"/>
  <c r="D72" i="1"/>
  <c r="CM71" i="1"/>
  <c r="CL71" i="1"/>
  <c r="E71" i="1" s="1"/>
  <c r="CM70" i="1"/>
  <c r="CL70" i="1"/>
  <c r="E70" i="1"/>
  <c r="CM69" i="1"/>
  <c r="CL69" i="1"/>
  <c r="E69" i="1" s="1"/>
  <c r="CM68" i="1"/>
  <c r="CL68" i="1"/>
  <c r="E68" i="1" s="1"/>
  <c r="F68" i="1"/>
  <c r="D68" i="1"/>
  <c r="C68" i="1"/>
  <c r="CM67" i="1"/>
  <c r="CL67" i="1"/>
  <c r="E67" i="1"/>
  <c r="CM66" i="1"/>
  <c r="CL66" i="1"/>
  <c r="E66" i="1"/>
  <c r="CM65" i="1"/>
  <c r="CL65" i="1"/>
  <c r="F65" i="1"/>
  <c r="E65" i="1"/>
  <c r="D65" i="1"/>
  <c r="C65" i="1"/>
  <c r="CM64" i="1"/>
  <c r="CL64" i="1"/>
  <c r="E64" i="1" s="1"/>
  <c r="CM63" i="1"/>
  <c r="CM56" i="1" s="1"/>
  <c r="CL63" i="1"/>
  <c r="E63" i="1" s="1"/>
  <c r="CM62" i="1"/>
  <c r="CL62" i="1"/>
  <c r="E62" i="1" s="1"/>
  <c r="CM61" i="1"/>
  <c r="E61" i="1" s="1"/>
  <c r="CL61" i="1"/>
  <c r="CM60" i="1"/>
  <c r="CL60" i="1"/>
  <c r="E60" i="1"/>
  <c r="CM59" i="1"/>
  <c r="CL59" i="1"/>
  <c r="E59" i="1"/>
  <c r="CM58" i="1"/>
  <c r="CL58" i="1"/>
  <c r="E58" i="1"/>
  <c r="CM57" i="1"/>
  <c r="CL57" i="1"/>
  <c r="F56" i="1"/>
  <c r="CM55" i="1"/>
  <c r="CL55" i="1"/>
  <c r="E55" i="1" s="1"/>
  <c r="CM54" i="1"/>
  <c r="CL54" i="1"/>
  <c r="CM53" i="1"/>
  <c r="F53" i="1"/>
  <c r="CM52" i="1"/>
  <c r="CL52" i="1"/>
  <c r="E52" i="1" s="1"/>
  <c r="CM51" i="1"/>
  <c r="CL51" i="1"/>
  <c r="E51" i="1" s="1"/>
  <c r="CM50" i="1"/>
  <c r="CL50" i="1"/>
  <c r="E50" i="1" s="1"/>
  <c r="CM49" i="1"/>
  <c r="CM48" i="1" s="1"/>
  <c r="CL49" i="1"/>
  <c r="F48" i="1"/>
  <c r="CM47" i="1"/>
  <c r="CL47" i="1"/>
  <c r="E47" i="1" s="1"/>
  <c r="CM46" i="1"/>
  <c r="CL46" i="1"/>
  <c r="E46" i="1" s="1"/>
  <c r="CM45" i="1"/>
  <c r="CL45" i="1"/>
  <c r="E45" i="1" s="1"/>
  <c r="CM44" i="1"/>
  <c r="CL44" i="1"/>
  <c r="CM43" i="1"/>
  <c r="CL43" i="1"/>
  <c r="F42" i="1"/>
  <c r="CM41" i="1"/>
  <c r="CL41" i="1"/>
  <c r="E41" i="1" s="1"/>
  <c r="CM40" i="1"/>
  <c r="CL40" i="1"/>
  <c r="E40" i="1" s="1"/>
  <c r="CM39" i="1"/>
  <c r="CM38" i="1" s="1"/>
  <c r="CL39" i="1"/>
  <c r="F38" i="1"/>
  <c r="CM37" i="1"/>
  <c r="CL37" i="1"/>
  <c r="E37" i="1" s="1"/>
  <c r="CM36" i="1"/>
  <c r="CL36" i="1"/>
  <c r="CM35" i="1"/>
  <c r="F35" i="1"/>
  <c r="D35" i="1"/>
  <c r="CM34" i="1"/>
  <c r="CL34" i="1"/>
  <c r="E34" i="1" s="1"/>
  <c r="CM33" i="1"/>
  <c r="CL33" i="1"/>
  <c r="E33" i="1" s="1"/>
  <c r="CM32" i="1"/>
  <c r="CL32" i="1"/>
  <c r="E32" i="1" s="1"/>
  <c r="CM31" i="1"/>
  <c r="CL31" i="1"/>
  <c r="E31" i="1" s="1"/>
  <c r="CM30" i="1"/>
  <c r="CL30" i="1"/>
  <c r="CM29" i="1"/>
  <c r="CM28" i="1" s="1"/>
  <c r="CL29" i="1"/>
  <c r="E29" i="1" s="1"/>
  <c r="F28" i="1"/>
  <c r="CM27" i="1"/>
  <c r="CL27" i="1"/>
  <c r="E27" i="1" s="1"/>
  <c r="CM26" i="1"/>
  <c r="CM25" i="1" s="1"/>
  <c r="CL26" i="1"/>
  <c r="F25" i="1"/>
  <c r="CM24" i="1"/>
  <c r="CL24" i="1"/>
  <c r="E24" i="1"/>
  <c r="CM23" i="1"/>
  <c r="CL23" i="1"/>
  <c r="E23" i="1"/>
  <c r="CM22" i="1"/>
  <c r="CL22" i="1"/>
  <c r="E22" i="1" s="1"/>
  <c r="F22" i="1"/>
  <c r="D22" i="1"/>
  <c r="C22" i="1"/>
  <c r="CM21" i="1"/>
  <c r="CL21" i="1"/>
  <c r="E21" i="1" s="1"/>
  <c r="CM20" i="1"/>
  <c r="CL20" i="1"/>
  <c r="E20" i="1" s="1"/>
  <c r="CM19" i="1"/>
  <c r="CL19" i="1"/>
  <c r="E19" i="1" s="1"/>
  <c r="CM18" i="1"/>
  <c r="CM17" i="1" s="1"/>
  <c r="CL18" i="1"/>
  <c r="F17" i="1"/>
  <c r="CM16" i="1"/>
  <c r="CL16" i="1"/>
  <c r="E16" i="1" s="1"/>
  <c r="CM15" i="1"/>
  <c r="CM14" i="1" s="1"/>
  <c r="CL15" i="1"/>
  <c r="F14" i="1"/>
  <c r="CM13" i="1"/>
  <c r="CL13" i="1"/>
  <c r="E13" i="1" s="1"/>
  <c r="CM12" i="1"/>
  <c r="CL12" i="1"/>
  <c r="E12" i="1" s="1"/>
  <c r="CM11" i="1"/>
  <c r="CM10" i="1" s="1"/>
  <c r="CL11" i="1"/>
  <c r="F10" i="1"/>
  <c r="CM92" i="1" l="1"/>
  <c r="Y92" i="1"/>
  <c r="X92" i="1"/>
  <c r="W92" i="1"/>
  <c r="V92" i="1"/>
  <c r="U92" i="1"/>
  <c r="T92" i="1"/>
  <c r="S92" i="1"/>
  <c r="R92" i="1"/>
  <c r="Q92" i="1"/>
  <c r="P92" i="1"/>
  <c r="O92" i="1"/>
  <c r="N92" i="1"/>
  <c r="M92" i="1"/>
  <c r="L92" i="1"/>
  <c r="K92" i="1"/>
  <c r="J92" i="1"/>
  <c r="I92" i="1"/>
  <c r="H92" i="1"/>
  <c r="G92" i="1"/>
  <c r="D92" i="1"/>
  <c r="AU92" i="1"/>
  <c r="BQ92" i="1"/>
  <c r="AX92" i="1"/>
  <c r="BB92" i="1"/>
  <c r="BE92" i="1"/>
  <c r="BJ92" i="1"/>
  <c r="BR92" i="1"/>
  <c r="BV92" i="1"/>
  <c r="BZ92" i="1"/>
  <c r="BF92" i="1"/>
  <c r="AP92" i="1"/>
  <c r="AS92" i="1"/>
  <c r="AW92" i="1"/>
  <c r="AM92" i="1"/>
  <c r="BN92" i="1"/>
  <c r="BG92" i="1"/>
  <c r="BA92" i="1"/>
  <c r="CA92" i="1"/>
  <c r="BS92" i="1"/>
  <c r="BK92" i="1"/>
  <c r="BD92" i="1"/>
  <c r="AY92" i="1"/>
  <c r="AV92" i="1"/>
  <c r="AO92" i="1"/>
  <c r="AE92" i="1"/>
  <c r="AK92" i="1"/>
  <c r="AF92" i="1"/>
  <c r="BP92" i="1"/>
  <c r="BI92" i="1"/>
  <c r="AI92" i="1"/>
  <c r="AN92" i="1"/>
  <c r="AJ92" i="1"/>
  <c r="AG92" i="1"/>
  <c r="AB92" i="1"/>
  <c r="CG92" i="1"/>
  <c r="CE92" i="1"/>
  <c r="CC92" i="1"/>
  <c r="BY92" i="1"/>
  <c r="BU92" i="1"/>
  <c r="AT92" i="1"/>
  <c r="AH92" i="1"/>
  <c r="AD92" i="1"/>
  <c r="AA92" i="1"/>
  <c r="BM92" i="1"/>
  <c r="AZ92" i="1"/>
  <c r="AQ92" i="1"/>
  <c r="AL92" i="1"/>
  <c r="AC92" i="1"/>
  <c r="Z92" i="1"/>
  <c r="CH92" i="1"/>
  <c r="CF92" i="1"/>
  <c r="CD92" i="1"/>
  <c r="CB92" i="1"/>
  <c r="BX92" i="1"/>
  <c r="BW92" i="1"/>
  <c r="BT92" i="1"/>
  <c r="BO92" i="1"/>
  <c r="BL92" i="1"/>
  <c r="BH92" i="1"/>
  <c r="BC92" i="1"/>
  <c r="AR92" i="1"/>
  <c r="N91" i="1"/>
  <c r="M91" i="1"/>
  <c r="L91" i="1"/>
  <c r="K91" i="1"/>
  <c r="J91" i="1"/>
  <c r="I91" i="1"/>
  <c r="H91" i="1"/>
  <c r="G91" i="1"/>
  <c r="D91" i="1"/>
  <c r="AR91" i="1"/>
  <c r="CM91" i="1"/>
  <c r="AQ91" i="1"/>
  <c r="AP91" i="1"/>
  <c r="AO91" i="1"/>
  <c r="AN91" i="1"/>
  <c r="AM91" i="1"/>
  <c r="AL91" i="1"/>
  <c r="AK91" i="1"/>
  <c r="AJ91" i="1"/>
  <c r="AI91" i="1"/>
  <c r="AH91" i="1"/>
  <c r="AG91" i="1"/>
  <c r="AF91" i="1"/>
  <c r="AE91" i="1"/>
  <c r="AD91" i="1"/>
  <c r="AC91" i="1"/>
  <c r="AB91" i="1"/>
  <c r="AA91" i="1"/>
  <c r="Z91" i="1"/>
  <c r="Y91" i="1"/>
  <c r="X91" i="1"/>
  <c r="W91" i="1"/>
  <c r="V91" i="1"/>
  <c r="U91" i="1"/>
  <c r="T91" i="1"/>
  <c r="S91" i="1"/>
  <c r="R91" i="1"/>
  <c r="Q91" i="1"/>
  <c r="P91" i="1"/>
  <c r="O91" i="1"/>
  <c r="AK90" i="1"/>
  <c r="AL90" i="1"/>
  <c r="AM90" i="1"/>
  <c r="AN90" i="1"/>
  <c r="AO90" i="1"/>
  <c r="AP90" i="1"/>
  <c r="AQ90" i="1"/>
  <c r="AR90" i="1"/>
  <c r="AS90" i="1"/>
  <c r="AT90" i="1"/>
  <c r="AU90" i="1"/>
  <c r="AV90" i="1"/>
  <c r="AW90" i="1"/>
  <c r="AX90" i="1"/>
  <c r="AY90" i="1"/>
  <c r="AZ90" i="1"/>
  <c r="BA90" i="1"/>
  <c r="BB90" i="1"/>
  <c r="BC90" i="1"/>
  <c r="BD90" i="1"/>
  <c r="BE90" i="1"/>
  <c r="BF90" i="1"/>
  <c r="BG90" i="1"/>
  <c r="BH90" i="1"/>
  <c r="BI90" i="1"/>
  <c r="BJ90" i="1"/>
  <c r="BK90" i="1"/>
  <c r="BL90" i="1"/>
  <c r="CM90" i="1"/>
  <c r="AH90" i="1"/>
  <c r="AG90" i="1"/>
  <c r="AF90" i="1"/>
  <c r="AE90" i="1"/>
  <c r="AD90" i="1"/>
  <c r="AC90" i="1"/>
  <c r="AB90" i="1"/>
  <c r="AA90" i="1"/>
  <c r="AI90" i="1"/>
  <c r="Z90" i="1"/>
  <c r="Y90" i="1"/>
  <c r="X90" i="1"/>
  <c r="W90" i="1"/>
  <c r="V90" i="1"/>
  <c r="U90" i="1"/>
  <c r="T90" i="1"/>
  <c r="S90" i="1"/>
  <c r="R90" i="1"/>
  <c r="Q90" i="1"/>
  <c r="P90" i="1"/>
  <c r="O90" i="1"/>
  <c r="N90" i="1"/>
  <c r="M90" i="1"/>
  <c r="L90" i="1"/>
  <c r="K90" i="1"/>
  <c r="J90" i="1"/>
  <c r="I90" i="1"/>
  <c r="H90" i="1"/>
  <c r="G90" i="1"/>
  <c r="D90" i="1"/>
  <c r="AJ90" i="1"/>
  <c r="AX89" i="1"/>
  <c r="AW89" i="1"/>
  <c r="AV89" i="1"/>
  <c r="AU89" i="1"/>
  <c r="AT89" i="1"/>
  <c r="AS89" i="1"/>
  <c r="AR89" i="1"/>
  <c r="AQ89" i="1"/>
  <c r="AP89" i="1"/>
  <c r="AO89" i="1"/>
  <c r="AN89" i="1"/>
  <c r="AM89" i="1"/>
  <c r="AL89" i="1"/>
  <c r="AK89" i="1"/>
  <c r="AJ89" i="1"/>
  <c r="AI89" i="1"/>
  <c r="AH89" i="1"/>
  <c r="AG89" i="1"/>
  <c r="AF89" i="1"/>
  <c r="AE89" i="1"/>
  <c r="AD89" i="1"/>
  <c r="AC89" i="1"/>
  <c r="AB89" i="1"/>
  <c r="AA89" i="1"/>
  <c r="Z89" i="1"/>
  <c r="Y89" i="1"/>
  <c r="X89" i="1"/>
  <c r="W89" i="1"/>
  <c r="V89" i="1"/>
  <c r="U89" i="1"/>
  <c r="M89" i="1"/>
  <c r="T89" i="1"/>
  <c r="S89" i="1"/>
  <c r="R89" i="1"/>
  <c r="Q89" i="1"/>
  <c r="P89" i="1"/>
  <c r="O89" i="1"/>
  <c r="N89" i="1"/>
  <c r="L89" i="1"/>
  <c r="K89" i="1"/>
  <c r="J89" i="1"/>
  <c r="I89" i="1"/>
  <c r="H89" i="1"/>
  <c r="G89" i="1"/>
  <c r="D89" i="1"/>
  <c r="CM89" i="1"/>
  <c r="CE89" i="1"/>
  <c r="CD89" i="1"/>
  <c r="CC89" i="1"/>
  <c r="CB89" i="1"/>
  <c r="CA89" i="1"/>
  <c r="BZ89" i="1"/>
  <c r="BY89" i="1"/>
  <c r="BX89" i="1"/>
  <c r="BW89" i="1"/>
  <c r="BV89" i="1"/>
  <c r="BU89" i="1"/>
  <c r="BT89" i="1"/>
  <c r="BS89" i="1"/>
  <c r="BR89" i="1"/>
  <c r="BQ89" i="1"/>
  <c r="BP89" i="1"/>
  <c r="BO89" i="1"/>
  <c r="BN89" i="1"/>
  <c r="BM89" i="1"/>
  <c r="BL89" i="1"/>
  <c r="BK89" i="1"/>
  <c r="BJ89" i="1"/>
  <c r="BI89" i="1"/>
  <c r="BH89" i="1"/>
  <c r="BG89" i="1"/>
  <c r="BF89" i="1"/>
  <c r="BE89" i="1"/>
  <c r="BD89" i="1"/>
  <c r="BC89" i="1"/>
  <c r="BB89" i="1"/>
  <c r="BA89" i="1"/>
  <c r="AZ89" i="1"/>
  <c r="AY89" i="1"/>
  <c r="AN88" i="1"/>
  <c r="V88" i="1"/>
  <c r="U88" i="1"/>
  <c r="T88" i="1"/>
  <c r="S88" i="1"/>
  <c r="R88" i="1"/>
  <c r="Q88" i="1"/>
  <c r="P88" i="1"/>
  <c r="O88" i="1"/>
  <c r="N88" i="1"/>
  <c r="M88" i="1"/>
  <c r="L88" i="1"/>
  <c r="K88" i="1"/>
  <c r="J88" i="1"/>
  <c r="I88" i="1"/>
  <c r="H88" i="1"/>
  <c r="G88" i="1"/>
  <c r="D88" i="1"/>
  <c r="BQ88" i="1"/>
  <c r="CA88" i="1"/>
  <c r="W88" i="1"/>
  <c r="CB88" i="1"/>
  <c r="CC88" i="1"/>
  <c r="CD88" i="1"/>
  <c r="CE88" i="1"/>
  <c r="CF88" i="1"/>
  <c r="CG88" i="1"/>
  <c r="CH88" i="1"/>
  <c r="BB88" i="1"/>
  <c r="BA88" i="1"/>
  <c r="AZ88" i="1"/>
  <c r="AY88" i="1"/>
  <c r="AX88" i="1"/>
  <c r="AW88" i="1"/>
  <c r="AV88" i="1"/>
  <c r="AU88" i="1"/>
  <c r="AT88" i="1"/>
  <c r="AS88" i="1"/>
  <c r="AR88" i="1"/>
  <c r="AQ88" i="1"/>
  <c r="AP88" i="1"/>
  <c r="AO88" i="1"/>
  <c r="BR88" i="1"/>
  <c r="BS88" i="1"/>
  <c r="BT88" i="1"/>
  <c r="BU88" i="1"/>
  <c r="BV88" i="1"/>
  <c r="BW88" i="1"/>
  <c r="BX88" i="1"/>
  <c r="BY88" i="1"/>
  <c r="BP88" i="1"/>
  <c r="BO88" i="1"/>
  <c r="BN88" i="1"/>
  <c r="BM88" i="1"/>
  <c r="BL88" i="1"/>
  <c r="BK88" i="1"/>
  <c r="BJ88" i="1"/>
  <c r="BZ88" i="1"/>
  <c r="BI88" i="1"/>
  <c r="BH88" i="1"/>
  <c r="BG88" i="1"/>
  <c r="BF88" i="1"/>
  <c r="BE88" i="1"/>
  <c r="BD88" i="1"/>
  <c r="BC88" i="1"/>
  <c r="CM88" i="1"/>
  <c r="AM88" i="1"/>
  <c r="AL88" i="1"/>
  <c r="AK88" i="1"/>
  <c r="AJ88" i="1"/>
  <c r="AI88" i="1"/>
  <c r="AH88" i="1"/>
  <c r="AG88" i="1"/>
  <c r="AF88" i="1"/>
  <c r="AE88" i="1"/>
  <c r="AD88" i="1"/>
  <c r="AC88" i="1"/>
  <c r="AB88" i="1"/>
  <c r="AA88" i="1"/>
  <c r="Z88" i="1"/>
  <c r="Y88" i="1"/>
  <c r="X88" i="1"/>
  <c r="BO87" i="1"/>
  <c r="BN87" i="1"/>
  <c r="BM87" i="1"/>
  <c r="BL87" i="1"/>
  <c r="BK87" i="1"/>
  <c r="BJ87" i="1"/>
  <c r="BI87" i="1"/>
  <c r="BH87" i="1"/>
  <c r="BF87" i="1"/>
  <c r="BE87" i="1"/>
  <c r="BD87" i="1"/>
  <c r="BC87" i="1"/>
  <c r="BB87" i="1"/>
  <c r="BA87" i="1"/>
  <c r="AZ87" i="1"/>
  <c r="AY87" i="1"/>
  <c r="Y87" i="1"/>
  <c r="Z87" i="1"/>
  <c r="AX87" i="1"/>
  <c r="AA87" i="1"/>
  <c r="AC87" i="1"/>
  <c r="AD87" i="1"/>
  <c r="AE87" i="1"/>
  <c r="AF87" i="1"/>
  <c r="AG87" i="1"/>
  <c r="AH87" i="1"/>
  <c r="AI87" i="1"/>
  <c r="AJ87" i="1"/>
  <c r="AK87" i="1"/>
  <c r="AL87" i="1"/>
  <c r="AM87" i="1"/>
  <c r="AN87" i="1"/>
  <c r="AO87" i="1"/>
  <c r="AP87" i="1"/>
  <c r="AQ87" i="1"/>
  <c r="AR87" i="1"/>
  <c r="AS87" i="1"/>
  <c r="AT87" i="1"/>
  <c r="AU87" i="1"/>
  <c r="AV87" i="1"/>
  <c r="AW87" i="1"/>
  <c r="W87" i="1"/>
  <c r="V87" i="1"/>
  <c r="U87" i="1"/>
  <c r="T87" i="1"/>
  <c r="S87" i="1"/>
  <c r="R87" i="1"/>
  <c r="Q87" i="1"/>
  <c r="CM87" i="1"/>
  <c r="O87" i="1"/>
  <c r="N87" i="1"/>
  <c r="M87" i="1"/>
  <c r="L87" i="1"/>
  <c r="K87" i="1"/>
  <c r="J87" i="1"/>
  <c r="I87" i="1"/>
  <c r="H87" i="1"/>
  <c r="G87" i="1"/>
  <c r="D87" i="1"/>
  <c r="BG87" i="1"/>
  <c r="X87" i="1"/>
  <c r="AB87" i="1"/>
  <c r="CH87" i="1"/>
  <c r="CG87" i="1"/>
  <c r="CF87" i="1"/>
  <c r="CE87" i="1"/>
  <c r="CD87" i="1"/>
  <c r="CC87" i="1"/>
  <c r="CB87" i="1"/>
  <c r="CA87" i="1"/>
  <c r="BZ87" i="1"/>
  <c r="BY87" i="1"/>
  <c r="BX87" i="1"/>
  <c r="BW87" i="1"/>
  <c r="BV87" i="1"/>
  <c r="BU87" i="1"/>
  <c r="BT87" i="1"/>
  <c r="BS87" i="1"/>
  <c r="BR87" i="1"/>
  <c r="BQ87" i="1"/>
  <c r="BP87" i="1"/>
  <c r="P87" i="1"/>
  <c r="AS86" i="1"/>
  <c r="AR86" i="1"/>
  <c r="AQ86" i="1"/>
  <c r="AP86" i="1"/>
  <c r="AO86" i="1"/>
  <c r="AN86" i="1"/>
  <c r="AM86" i="1"/>
  <c r="AL86" i="1"/>
  <c r="AK86" i="1"/>
  <c r="AJ86" i="1"/>
  <c r="AI86" i="1"/>
  <c r="AH86" i="1"/>
  <c r="AG86" i="1"/>
  <c r="AE86" i="1"/>
  <c r="AD86" i="1"/>
  <c r="AC86" i="1"/>
  <c r="AB86" i="1"/>
  <c r="AA86" i="1"/>
  <c r="Z86" i="1"/>
  <c r="Y86" i="1"/>
  <c r="X86" i="1"/>
  <c r="W86" i="1"/>
  <c r="V86" i="1"/>
  <c r="U86" i="1"/>
  <c r="T86" i="1"/>
  <c r="S86" i="1"/>
  <c r="R86" i="1"/>
  <c r="Q86" i="1"/>
  <c r="P86" i="1"/>
  <c r="O86" i="1"/>
  <c r="CG86" i="1"/>
  <c r="CF86" i="1"/>
  <c r="CE86" i="1"/>
  <c r="CD86" i="1"/>
  <c r="CC86" i="1"/>
  <c r="N86" i="1"/>
  <c r="M86" i="1"/>
  <c r="L86" i="1"/>
  <c r="K86" i="1"/>
  <c r="J86" i="1"/>
  <c r="I86" i="1"/>
  <c r="H86" i="1"/>
  <c r="G86" i="1"/>
  <c r="D86" i="1"/>
  <c r="CB86" i="1"/>
  <c r="CA86" i="1"/>
  <c r="AF86" i="1"/>
  <c r="CH86" i="1"/>
  <c r="CM86" i="1"/>
  <c r="BZ86" i="1"/>
  <c r="BY86" i="1"/>
  <c r="BX86" i="1"/>
  <c r="BW86" i="1"/>
  <c r="BV86" i="1"/>
  <c r="BU86" i="1"/>
  <c r="BT86" i="1"/>
  <c r="BS86" i="1"/>
  <c r="BR86" i="1"/>
  <c r="BQ86" i="1"/>
  <c r="BP86" i="1"/>
  <c r="BO86" i="1"/>
  <c r="BN86" i="1"/>
  <c r="BM86" i="1"/>
  <c r="BL86" i="1"/>
  <c r="BK86" i="1"/>
  <c r="BJ86" i="1"/>
  <c r="BI86" i="1"/>
  <c r="BH86" i="1"/>
  <c r="BG86" i="1"/>
  <c r="BF86" i="1"/>
  <c r="BE86" i="1"/>
  <c r="BD86" i="1"/>
  <c r="BC86" i="1"/>
  <c r="BB86" i="1"/>
  <c r="BA86" i="1"/>
  <c r="AZ86" i="1"/>
  <c r="AY86" i="1"/>
  <c r="AX86" i="1"/>
  <c r="AW86" i="1"/>
  <c r="AV86" i="1"/>
  <c r="AU86" i="1"/>
  <c r="AT86" i="1"/>
  <c r="BH85" i="1"/>
  <c r="BG85" i="1"/>
  <c r="BF85" i="1"/>
  <c r="BE85" i="1"/>
  <c r="BD85" i="1"/>
  <c r="BC85" i="1"/>
  <c r="BB85" i="1"/>
  <c r="BA85" i="1"/>
  <c r="AZ85" i="1"/>
  <c r="AY85" i="1"/>
  <c r="AX85" i="1"/>
  <c r="AW85" i="1"/>
  <c r="AV85" i="1"/>
  <c r="AU85" i="1"/>
  <c r="AT85" i="1"/>
  <c r="AS85" i="1"/>
  <c r="AR85" i="1"/>
  <c r="AQ85" i="1"/>
  <c r="AP85" i="1"/>
  <c r="AO85" i="1"/>
  <c r="AN85" i="1"/>
  <c r="AM85" i="1"/>
  <c r="AL85" i="1"/>
  <c r="AK85" i="1"/>
  <c r="AJ85" i="1"/>
  <c r="AI85" i="1"/>
  <c r="U85" i="1"/>
  <c r="T85" i="1"/>
  <c r="S85" i="1"/>
  <c r="R85" i="1"/>
  <c r="Q85" i="1"/>
  <c r="P85" i="1"/>
  <c r="O85" i="1"/>
  <c r="N85" i="1"/>
  <c r="M85" i="1"/>
  <c r="L85" i="1"/>
  <c r="K85" i="1"/>
  <c r="J85" i="1"/>
  <c r="I85" i="1"/>
  <c r="H85" i="1"/>
  <c r="G85" i="1"/>
  <c r="D85" i="1"/>
  <c r="CC85" i="1"/>
  <c r="BQ85" i="1"/>
  <c r="BR85" i="1"/>
  <c r="BS85" i="1"/>
  <c r="BT85" i="1"/>
  <c r="BU85" i="1"/>
  <c r="BI85" i="1"/>
  <c r="BJ85" i="1"/>
  <c r="BK85" i="1"/>
  <c r="BL85" i="1"/>
  <c r="BM85" i="1"/>
  <c r="BN85" i="1"/>
  <c r="BO85" i="1"/>
  <c r="BP85" i="1"/>
  <c r="BV85" i="1"/>
  <c r="BW85" i="1"/>
  <c r="BX85" i="1"/>
  <c r="BY85" i="1"/>
  <c r="BZ85" i="1"/>
  <c r="CA85" i="1"/>
  <c r="CB85" i="1"/>
  <c r="CD85" i="1"/>
  <c r="CE85" i="1"/>
  <c r="CF85" i="1"/>
  <c r="CG85" i="1"/>
  <c r="CH85" i="1"/>
  <c r="CM85" i="1"/>
  <c r="AH85" i="1"/>
  <c r="AG85" i="1"/>
  <c r="AF85" i="1"/>
  <c r="AE85" i="1"/>
  <c r="AD85" i="1"/>
  <c r="AC85" i="1"/>
  <c r="AB85" i="1"/>
  <c r="AA85" i="1"/>
  <c r="Z85" i="1"/>
  <c r="Y85" i="1"/>
  <c r="X85" i="1"/>
  <c r="W85" i="1"/>
  <c r="V85" i="1"/>
  <c r="CH84" i="1"/>
  <c r="CG84" i="1"/>
  <c r="CE84" i="1"/>
  <c r="CD84" i="1"/>
  <c r="CB84" i="1"/>
  <c r="BY84" i="1"/>
  <c r="BW84" i="1"/>
  <c r="BU84" i="1"/>
  <c r="BT84" i="1"/>
  <c r="BR84" i="1"/>
  <c r="BP84" i="1"/>
  <c r="BN84" i="1"/>
  <c r="BK84" i="1"/>
  <c r="BI84" i="1"/>
  <c r="BG84" i="1"/>
  <c r="BE84" i="1"/>
  <c r="BC84" i="1"/>
  <c r="I84" i="1"/>
  <c r="H84" i="1"/>
  <c r="G84" i="1"/>
  <c r="D84" i="1"/>
  <c r="M84" i="1"/>
  <c r="BB84" i="1"/>
  <c r="BD84" i="1"/>
  <c r="BF84" i="1"/>
  <c r="BH84" i="1"/>
  <c r="BJ84" i="1"/>
  <c r="BL84" i="1"/>
  <c r="CA84" i="1"/>
  <c r="BM84" i="1"/>
  <c r="BO84" i="1"/>
  <c r="BQ84" i="1"/>
  <c r="BS84" i="1"/>
  <c r="BV84" i="1"/>
  <c r="CM84" i="1"/>
  <c r="AQ84" i="1"/>
  <c r="BX84" i="1"/>
  <c r="BZ84" i="1"/>
  <c r="CC84" i="1"/>
  <c r="CF84" i="1"/>
  <c r="BA84" i="1"/>
  <c r="AZ84" i="1"/>
  <c r="AY84" i="1"/>
  <c r="AX84" i="1"/>
  <c r="AW84" i="1"/>
  <c r="AV84" i="1"/>
  <c r="AU84" i="1"/>
  <c r="AT84" i="1"/>
  <c r="AS84" i="1"/>
  <c r="AR84" i="1"/>
  <c r="AP84" i="1"/>
  <c r="AO84" i="1"/>
  <c r="AN84" i="1"/>
  <c r="AM84" i="1"/>
  <c r="AL84" i="1"/>
  <c r="AK84" i="1"/>
  <c r="AJ84" i="1"/>
  <c r="AI84" i="1"/>
  <c r="AH84" i="1"/>
  <c r="AG84" i="1"/>
  <c r="AF84" i="1"/>
  <c r="AE84" i="1"/>
  <c r="AD84" i="1"/>
  <c r="AC84" i="1"/>
  <c r="AB84" i="1"/>
  <c r="AA84" i="1"/>
  <c r="Z84" i="1"/>
  <c r="Y84" i="1"/>
  <c r="X84" i="1"/>
  <c r="W84" i="1"/>
  <c r="V84" i="1"/>
  <c r="U84" i="1"/>
  <c r="T84" i="1"/>
  <c r="S84" i="1"/>
  <c r="R84" i="1"/>
  <c r="Q84" i="1"/>
  <c r="P84" i="1"/>
  <c r="O84" i="1"/>
  <c r="N84" i="1"/>
  <c r="L84" i="1"/>
  <c r="K84" i="1"/>
  <c r="J84" i="1"/>
  <c r="D81" i="1"/>
  <c r="E82" i="1"/>
  <c r="CL81" i="1"/>
  <c r="D77" i="1"/>
  <c r="E77" i="1"/>
  <c r="E73" i="1"/>
  <c r="CL72" i="1"/>
  <c r="D56" i="1"/>
  <c r="E57" i="1"/>
  <c r="CL56" i="1"/>
  <c r="CL53" i="1"/>
  <c r="E54" i="1"/>
  <c r="D53" i="1"/>
  <c r="D48" i="1"/>
  <c r="E49" i="1"/>
  <c r="CL48" i="1"/>
  <c r="CL42" i="1"/>
  <c r="C42" i="1" s="1"/>
  <c r="E44" i="1"/>
  <c r="E43" i="1"/>
  <c r="CM42" i="1"/>
  <c r="D38" i="1"/>
  <c r="CL38" i="1"/>
  <c r="E39" i="1"/>
  <c r="E36" i="1"/>
  <c r="CL35" i="1"/>
  <c r="E30" i="1"/>
  <c r="CL28" i="1"/>
  <c r="C28" i="1" s="1"/>
  <c r="D28" i="1"/>
  <c r="E28" i="1"/>
  <c r="D25" i="1"/>
  <c r="CL25" i="1"/>
  <c r="E26" i="1"/>
  <c r="D17" i="1"/>
  <c r="E18" i="1"/>
  <c r="CL17" i="1"/>
  <c r="D14" i="1"/>
  <c r="E15" i="1"/>
  <c r="CL14" i="1"/>
  <c r="D10" i="1"/>
  <c r="CL10" i="1"/>
  <c r="E11" i="1"/>
  <c r="E72" i="1" l="1"/>
  <c r="C72" i="1"/>
  <c r="D42" i="1"/>
  <c r="E42" i="1"/>
  <c r="C35" i="1"/>
  <c r="E35" i="1"/>
  <c r="C81" i="1"/>
  <c r="E81" i="1"/>
  <c r="C56" i="1"/>
  <c r="E56" i="1"/>
  <c r="C53" i="1"/>
  <c r="E53" i="1"/>
  <c r="C48" i="1"/>
  <c r="E48" i="1"/>
  <c r="C38" i="1"/>
  <c r="E38" i="1"/>
  <c r="C25" i="1"/>
  <c r="E25" i="1"/>
  <c r="C17" i="1"/>
  <c r="E17" i="1"/>
  <c r="C14" i="1"/>
  <c r="E14" i="1"/>
  <c r="C10" i="1"/>
  <c r="E10" i="1"/>
</calcChain>
</file>

<file path=xl/sharedStrings.xml><?xml version="1.0" encoding="utf-8"?>
<sst xmlns="http://schemas.openxmlformats.org/spreadsheetml/2006/main" count="583" uniqueCount="272">
  <si>
    <t>FitForm AI - Project Gantt Chart (daily), IMP Part B</t>
  </si>
  <si>
    <t>Steve Flinston (24123119) | 6FTC2062 Individual Major Project | Supervisor: Wong Kim Siong | Updated 31 Oct 2026 (after Session 3)</t>
  </si>
  <si>
    <t>Task Name</t>
  </si>
  <si>
    <t>Outline
week</t>
  </si>
  <si>
    <t>Start</t>
  </si>
  <si>
    <t>End</t>
  </si>
  <si>
    <t>Days</t>
  </si>
  <si>
    <t>Status</t>
  </si>
  <si>
    <t>September 2026</t>
  </si>
  <si>
    <t>October 2026</t>
  </si>
  <si>
    <t>November 2026</t>
  </si>
  <si>
    <t>Dec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</si>
  <si>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</si>
  <si>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</si>
  <si>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</si>
  <si>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</si>
  <si>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</si>
  <si>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</si>
  <si>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</si>
  <si>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</si>
  <si>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</si>
  <si>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</si>
  <si>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</si>
  <si>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</si>
  <si>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M</t>
  </si>
  <si>
    <t>T</t>
  </si>
  <si>
    <t>W</t>
  </si>
  <si>
    <t>F</t>
  </si>
  <si>
    <t>S</t>
  </si>
  <si>
    <t>Start date</t>
  </si>
  <si>
    <t>End date</t>
  </si>
  <si>
    <t>1. Set up Python 3.11 virtual environment (Raspberry Pi OS + laptop)</t>
  </si>
  <si>
    <t>W1</t>
  </si>
  <si>
    <t>Heading</t>
  </si>
  <si>
    <t>Install Raspberry Pi OS on the microSD card; first boot of the Pi 5</t>
  </si>
  <si>
    <t>14 Sep</t>
  </si>
  <si>
    <t>16 Sep</t>
  </si>
  <si>
    <t>Done</t>
  </si>
  <si>
    <t>Task</t>
  </si>
  <si>
    <t>Laptop Python environment; fix library version error</t>
  </si>
  <si>
    <t>18 Sep</t>
  </si>
  <si>
    <t>Pi 5 Python 3.12 virtual environment with uv (OS ships Python 3.13)</t>
  </si>
  <si>
    <t>28 Sep</t>
  </si>
  <si>
    <t>2 Oct</t>
  </si>
  <si>
    <t>2. Install and configure OpenCV</t>
  </si>
  <si>
    <t>W2</t>
  </si>
  <si>
    <t>Install OpenCV 4.11 on the laptop; test the webcam</t>
  </si>
  <si>
    <t>Install OpenCV on the Pi 5; remove conflicting builds</t>
  </si>
  <si>
    <t>30 Sep</t>
  </si>
  <si>
    <t>3. Install and configure MediaPipe; test camera feed and GPIO wiring for LED/buzzer</t>
  </si>
  <si>
    <t>W3</t>
  </si>
  <si>
    <t>Install MediaPipe on the laptop; test pose on the webcam</t>
  </si>
  <si>
    <t>17 Sep</t>
  </si>
  <si>
    <t>19 Sep</t>
  </si>
  <si>
    <t>Install MediaPipe 0.10.18 on the Pi 5; run the logic tests</t>
  </si>
  <si>
    <t>1 Oct</t>
  </si>
  <si>
    <t>3 Oct</t>
  </si>
  <si>
    <t>Pi camera support (rpicam) and AI Camera firmware</t>
  </si>
  <si>
    <t>7 Oct</t>
  </si>
  <si>
    <t>GPIO wiring test of the LEDs and buzzer on the breadboard (moved)</t>
  </si>
  <si>
    <t>2 Nov</t>
  </si>
  <si>
    <t>4 Nov</t>
  </si>
  <si>
    <t>Not started</t>
  </si>
  <si>
    <t>4. Develop MediaPipe Pose landmark extraction (shoulder, elbow, wrist, hip coordinates)</t>
  </si>
  <si>
    <t>W4</t>
  </si>
  <si>
    <t>Restructure the prototype into modules (pose_engine.py)</t>
  </si>
  <si>
    <t>25 Sep</t>
  </si>
  <si>
    <t>Use MediaPipe 3D world landmarks (view-independent)</t>
  </si>
  <si>
    <t>5 Oct</t>
  </si>
  <si>
    <t>5. Implement joint-angle calculation functions (elbow, torso, wrist angles)</t>
  </si>
  <si>
    <t>W5</t>
  </si>
  <si>
    <t>Elbow angle and upper-arm drift check (replaces hip swing check)</t>
  </si>
  <si>
    <t>Wrist angle from the hand knuckles (MediaPipe Hands)</t>
  </si>
  <si>
    <t>8 Oct</t>
  </si>
  <si>
    <t>6. Build the bicep curl rep-counting state machine with form-validation checks</t>
  </si>
  <si>
    <t>W6</t>
  </si>
  <si>
    <t>State machine for left and right arms (laptop test)</t>
  </si>
  <si>
    <t>21 Sep</t>
  </si>
  <si>
    <t>26 Sep</t>
  </si>
  <si>
    <t>Clenched-fist check with MediaPipe Hands</t>
  </si>
  <si>
    <t>6 Oct</t>
  </si>
  <si>
    <t>Fix live rep counting on the Pi using the debug view</t>
  </si>
  <si>
    <t>22 Oct</t>
  </si>
  <si>
    <t>Fist direction: per-arm calibration from labelled runs; tip instead of reject</t>
  </si>
  <si>
    <t>15 Oct</t>
  </si>
  <si>
    <t>21 Oct</t>
  </si>
  <si>
    <t>Pause after a rejected rep with fix text; walk-away ends the session</t>
  </si>
  <si>
    <t>20 Oct</t>
  </si>
  <si>
    <t>Wrist-height tempo and lowering-speed check</t>
  </si>
  <si>
    <t>26 Oct</t>
  </si>
  <si>
    <t>27 Oct</t>
  </si>
  <si>
    <t>7. Test OpenCV/MediaPipe detection under varying lighting conditions</t>
  </si>
  <si>
    <t>W7</t>
  </si>
  <si>
    <t>Record test clips for repeatable testing (tools/record_clips.py)</t>
  </si>
  <si>
    <t>Lighting tests (bright, dim, backlit) and record results</t>
  </si>
  <si>
    <t>9 Nov</t>
  </si>
  <si>
    <t>11 Nov</t>
  </si>
  <si>
    <t>8. Test detection under varying distances/backgrounds; tune thresholds for stability</t>
  </si>
  <si>
    <t>W8</t>
  </si>
  <si>
    <t>Tune angle, visibility and confidence thresholds</t>
  </si>
  <si>
    <t>Distance and background tests and record results</t>
  </si>
  <si>
    <t>10 Nov</t>
  </si>
  <si>
    <t>12 Nov</t>
  </si>
  <si>
    <t>Frame-rate check on the Pi 5 (CNN every 3rd frame, camera watchdog)</t>
  </si>
  <si>
    <t>6 Nov</t>
  </si>
  <si>
    <t>In progress</t>
  </si>
  <si>
    <t>9. Develop supporting modules: display overlay, GPIO feedback, calorie tracking, session logging (CSV)</t>
  </si>
  <si>
    <t>W9</t>
  </si>
  <si>
    <t>On-screen overlay, debug view, start-up demo and full screen</t>
  </si>
  <si>
    <t>Calorie estimate (MET 3.5, 2024 Compendium) and session summary</t>
  </si>
  <si>
    <t>CSV session log and Flask phone app: accounts, QR login, history</t>
  </si>
  <si>
    <t>Goal for the next session from guidelines (ACSM 2009, WHO 2020)</t>
  </si>
  <si>
    <t>19 Oct</t>
  </si>
  <si>
    <t>GPIO feedback module with the LEDs and buzzer (moved)</t>
  </si>
  <si>
    <t>10. Design and 3D print the Raspberry Pi/display/LED enclosure (Bambu Lab X1 Carbon, PLA)</t>
  </si>
  <si>
    <t>W10</t>
  </si>
  <si>
    <t>Enclosure CAD in Fusion 360 (tray, port openings, hinged lid)</t>
  </si>
  <si>
    <t>Polished design (supervisor): rounded shape, camera mounts, cable routing, logo</t>
  </si>
  <si>
    <t>8 Nov</t>
  </si>
  <si>
    <t>Test-print one section and check the fit</t>
  </si>
  <si>
    <t>7 Nov</t>
  </si>
  <si>
    <t>Print the full enclosure and finish it (sanding, two colours)</t>
  </si>
  <si>
    <t>13 Nov</t>
  </si>
  <si>
    <t>11. Assemble hardware into the enclosure; integrate pipeline on Raspberry Pi 5 (camera, GPIO, Flask endpoint)</t>
  </si>
  <si>
    <t>W11</t>
  </si>
  <si>
    <t>Integrate the software on the Pi (both cameras, Flask app)</t>
  </si>
  <si>
    <t>Mount the Pi, cameras, LEDs and buzzer in the enclosure</t>
  </si>
  <si>
    <t>15 Nov</t>
  </si>
  <si>
    <t>12. End-to-end system testing and accuracy/reliability evaluation; write and finalise report; submission buffer</t>
  </si>
  <si>
    <t>W12</t>
  </si>
  <si>
    <t>Repeated test sessions: automated vs manually counted reps</t>
  </si>
  <si>
    <t>14 Nov</t>
  </si>
  <si>
    <t>Fix issues found; software and hardware complete (code freeze)</t>
  </si>
  <si>
    <t>Demo videos on Google Drive (bicep curl, exit session)</t>
  </si>
  <si>
    <t>28 Oct</t>
  </si>
  <si>
    <t>Final demo video and results for the report</t>
  </si>
  <si>
    <t>16 Nov</t>
  </si>
  <si>
    <t>Report: introduction, literature review, methodology</t>
  </si>
  <si>
    <t>Report: results, discussion, conclusions</t>
  </si>
  <si>
    <t>20 Nov</t>
  </si>
  <si>
    <t>Report: project management and quality management review</t>
  </si>
  <si>
    <t>17 Nov</t>
  </si>
  <si>
    <t>21 Nov</t>
  </si>
  <si>
    <t>Proofread, similarity check (&lt;20%), submit (buffer)</t>
  </si>
  <si>
    <t>22 Nov</t>
  </si>
  <si>
    <t>25 Nov</t>
  </si>
  <si>
    <t>13. Prepare VIVA slides and rehearse the demo (added)</t>
  </si>
  <si>
    <t>-</t>
  </si>
  <si>
    <t>Prepare the 8 VIVA slides</t>
  </si>
  <si>
    <t>26 Nov</t>
  </si>
  <si>
    <t>30 Nov</t>
  </si>
  <si>
    <t>Rehearse the presentation and live demo</t>
  </si>
  <si>
    <t>28 Nov</t>
  </si>
  <si>
    <t>1 Dec</t>
  </si>
  <si>
    <t>14. Two-camera approach (added)</t>
  </si>
  <si>
    <t>AI Camera at the front + USB webcam at the side; fist/palm from both views</t>
  </si>
  <si>
    <t>12 Oct</t>
  </si>
  <si>
    <t>Find the cameras automatically (front / side)</t>
  </si>
  <si>
    <t>Review at Session 3: fist direction left as a limitation</t>
  </si>
  <si>
    <t>15. Weight-in-hand CNN (added)</t>
  </si>
  <si>
    <t>Collect labelled hand crops (about 9,500, front + side)</t>
  </si>
  <si>
    <t>Fine-tune MobileNetV3-Small, export ONNX, run with OpenCV (98.5 %)</t>
  </si>
  <si>
    <t>Feasibility test: AI Camera on-chip object detector</t>
  </si>
  <si>
    <t>31 Oct</t>
  </si>
  <si>
    <t>Round 3 data: 3D-printed dumbbell, other objects and people</t>
  </si>
  <si>
    <t>3 Nov</t>
  </si>
  <si>
    <t>16. Extra features suggested by the supervisor at Session 3 (added)</t>
  </si>
  <si>
    <t>Personalised session report (PDF from the phone app)</t>
  </si>
  <si>
    <t>Speech-to-text voice commands (start, stop, summary) - offline</t>
  </si>
  <si>
    <t>5 Nov</t>
  </si>
  <si>
    <t>Polished 3D chassis - see task 10</t>
  </si>
  <si>
    <t>17. Battery power - if time allows (added)</t>
  </si>
  <si>
    <t>Battery path (fuse, SB560 diode, HW-688) and load test  (optional)</t>
  </si>
  <si>
    <t>Yes</t>
  </si>
  <si>
    <t>Milestones</t>
  </si>
  <si>
    <t>Heading2</t>
  </si>
  <si>
    <t>◆ Session 1 - Project review 1 (Logbook 5)</t>
  </si>
  <si>
    <t>23 Sep</t>
  </si>
  <si>
    <t>Milestone</t>
  </si>
  <si>
    <t>◆ Session 2 - Project review 2 (Logbook 6)</t>
  </si>
  <si>
    <t>◆ Software target - reps counted reliably on the Pi</t>
  </si>
  <si>
    <t>◆ Session 3 - Project review 3 (Logbook 7)</t>
  </si>
  <si>
    <t>◆ Software and hardware complete (code freeze)</t>
  </si>
  <si>
    <t>◆ Session 4 - Project review 4 (Logbook 8)</t>
  </si>
  <si>
    <t>18 Nov</t>
  </si>
  <si>
    <t>◆ Final project report submission</t>
  </si>
  <si>
    <t>◆ VIVA slides submission</t>
  </si>
  <si>
    <t>◆ Project defence (VIVA) and demo</t>
  </si>
  <si>
    <t>2 Dec</t>
  </si>
  <si>
    <t>Legend</t>
  </si>
  <si>
    <t>Heading (outline task) - span of its subtasks</t>
  </si>
  <si>
    <t>Planned</t>
  </si>
  <si>
    <t>Optional / still in development</t>
  </si>
  <si>
    <t>Weekend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</si>
  <si>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</si>
  <si>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</si>
  <si>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</si>
  <si>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</si>
  <si>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</si>
  <si>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</si>
  <si>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</si>
  <si>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</si>
  <si>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</si>
  <si>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</si>
  <si>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</si>
  <si>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Comparison with the Project Outline Gantt chart (Appendix A)</t>
  </si>
  <si>
    <t>Term week 1 = 14-20 Sep 2026, so outline week Wn = the n-th week from 14 Sep.</t>
  </si>
  <si>
    <t>Outline task</t>
  </si>
  <si>
    <t>Outline week (dates)</t>
  </si>
  <si>
    <t>Updated span</t>
  </si>
  <si>
    <t>Status (31 Oct)</t>
  </si>
  <si>
    <t>Change and reason</t>
  </si>
  <si>
    <t>Set up Python 3.11 virtual environment (Raspberry Pi OS + laptop)</t>
  </si>
  <si>
    <t>W1 (14 Sep - 20 Sep)</t>
  </si>
  <si>
    <t>14 Sep - 02 Oct</t>
  </si>
  <si>
    <t>Took longer: Raspberry Pi OS Trixie ships Python 3.13, which MediaPipe does not support, so a Python 3.12 environment was made with uv.</t>
  </si>
  <si>
    <t>Install and configure OpenCV</t>
  </si>
  <si>
    <t>W2 (21 Sep - 27 Sep)</t>
  </si>
  <si>
    <t>16 Sep - 02 Oct</t>
  </si>
  <si>
    <t>Laptop done in W1; the Pi part was done together with task 1 in W3.</t>
  </si>
  <si>
    <t>Install and configure MediaPipe; test camera feed and GPIO wiring for LED/buzzer</t>
  </si>
  <si>
    <t>W3 (28 Sep - 04 Oct)</t>
  </si>
  <si>
    <t>17 Sep - 04 Nov</t>
  </si>
  <si>
    <t>MediaPipe and camera done (AI Camera needed its firmware). GPIO wiring moved to early November to keep the focus on the software (critical path).</t>
  </si>
  <si>
    <t>Develop MediaPipe Pose landmark extraction (shoulder, elbow, wrist, hip coordinates)</t>
  </si>
  <si>
    <t>W4 (05 Oct - 11 Oct)</t>
  </si>
  <si>
    <t>19 Sep - 07 Oct</t>
  </si>
  <si>
    <t>Done early on the laptop (W1-W2); 3D landmarks added in W4.</t>
  </si>
  <si>
    <t>Implement joint-angle calculation functions (elbow, torso, wrist angles)</t>
  </si>
  <si>
    <t>W5 (12 Oct - 18 Oct)</t>
  </si>
  <si>
    <t>05 Oct - 08 Oct</t>
  </si>
  <si>
    <t>Done in W4; wrist angle from the hand knuckles; hip angle replaced by an upper-arm drift check because the hips are often out of view.</t>
  </si>
  <si>
    <t>Build the bicep curl rep-counting state machine with form-validation checks</t>
  </si>
  <si>
    <t>W6 (19 Oct - 25 Oct)</t>
  </si>
  <si>
    <t>21 Sep - 27 Oct</t>
  </si>
  <si>
    <t>Started early on the laptop (W2); live counting on the Pi took until 22 Oct. Fist direction could not be judged reliably from one camera; agreed with the supervisor to leave it as a limitation (advice only).</t>
  </si>
  <si>
    <t>Test OpenCV/MediaPipe detection under varying lighting conditions</t>
  </si>
  <si>
    <t>W7 (26 Oct - 01 Nov)</t>
  </si>
  <si>
    <t>20 Oct - 11 Nov</t>
  </si>
  <si>
    <t>Test clips recorded in W6 so every change is tested on the same video; the formal lighting tests are run in W9 with the finished system.</t>
  </si>
  <si>
    <t>Test detection under varying distances/backgrounds; tune thresholds for stability</t>
  </si>
  <si>
    <t>W8 (02 Nov - 08 Nov)</t>
  </si>
  <si>
    <t>08 Oct - 12 Nov</t>
  </si>
  <si>
    <t>Threshold tuning started early (W4) because counting did not work on the Pi; distance/background tests in W9.</t>
  </si>
  <si>
    <t>Develop supporting modules: display overlay, GPIO feedback, calorie tracking, session logging (CSV)</t>
  </si>
  <si>
    <t>W9 (09 Nov - 15 Nov)</t>
  </si>
  <si>
    <t>21 Sep - 06 Nov</t>
  </si>
  <si>
    <t>Grew in scope: the CSV log became a Flask phone app with accounts, QR login, session history, calorie chart and a goal for the next session (W5-W7). GPIO feedback moved to W8.</t>
  </si>
  <si>
    <t>Design and 3D print the Raspberry Pi/display/LED enclosure (Bambu Lab X1 Carbon, PLA)</t>
  </si>
  <si>
    <t>W10 (16 Nov - 22 Nov)</t>
  </si>
  <si>
    <t>02 Oct - 13 Nov</t>
  </si>
  <si>
    <t>CAD started early but paused while the software was fixed; the supervisor asked for a polished chassis, so the redesign and printing are W8-W9.</t>
  </si>
  <si>
    <t>Assemble hardware into the enclosure; integrate pipeline on Raspberry Pi 5 (camera, GPIO, Flask endpoint)</t>
  </si>
  <si>
    <t>W11 (23 Nov - 29 Nov)</t>
  </si>
  <si>
    <t>21 Oct - 15 Nov</t>
  </si>
  <si>
    <t>Software integration on the Pi finished in W6-W7 (both cameras, phone app); mounting in the enclosure in W9.</t>
  </si>
  <si>
    <t>End-to-end system testing and accuracy/reliability evaluation; write and finalise report; submission buffer</t>
  </si>
  <si>
    <t>W12 (30 Nov - 06 Dec)</t>
  </si>
  <si>
    <t>27 Oct - 25 Nov</t>
  </si>
  <si>
    <t>Demo videos already recorded (W7). Report writing starts in W8 so it is not left to the end; code freeze 15 Nov, report due 25 Nov.</t>
  </si>
  <si>
    <t>Two-camera approach (added)</t>
  </si>
  <si>
    <t>12 Oct - 28 Oct</t>
  </si>
  <si>
    <t>Added to judge the fist and palm from the side; reviewed at Session 3.</t>
  </si>
  <si>
    <t>Weight-in-hand CNN (added)</t>
  </si>
  <si>
    <t>27 Oct - 10 Nov</t>
  </si>
  <si>
    <t>Added to check that a weight is held; 98.5 % on a new session; more data with a dumbbell next.</t>
  </si>
  <si>
    <t>Supervisor's extra features (added)</t>
  </si>
  <si>
    <t>02 Nov - 13 Nov</t>
  </si>
  <si>
    <t>Personalised report, speech-to-text and a polished chassis, suggested at Session 3.</t>
  </si>
  <si>
    <t>VIVA slides and rehearsal (added)</t>
  </si>
  <si>
    <t>26 Nov - 01 Dec</t>
  </si>
  <si>
    <t>Not in the outline; slides due 30 Nov, VIVA 2 Dec.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</si>
</sst>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mm"/>
  </numFmts>
  <fonts count="20" x14ac:knownFonts="1">
    <font>
      <sz val="11"/>
      <color theme="1"/>
      <name val="Calibri"/>
      <family val="2"/>
      <charset val="1"/>
    </font>
    <font>
      <b/>
      <sz val="20"/>
      <color rgb="FF000000"/>
      <name val="Arial"/>
      <charset val="1"/>
    </font>
    <font>
      <sz val="10"/>
      <color rgb="FF595959"/>
      <name val="Arial"/>
      <charset val="1"/>
    </font>
    <font>
      <i/>
      <sz val="9"/>
      <color rgb="FF595959"/>
      <name val="Arial"/>
      <charset val="1"/>
    </font>
    <font>
      <b/>
      <sz val="16"/>
      <color rgb="FFFFFFFF"/>
      <name val="Arial"/>
      <charset val="1"/>
    </font>
    <font>
      <b/>
      <sz val="10"/>
      <color rgb="FFFFFFFF"/>
      <name val="Arial"/>
      <charset val="1"/>
    </font>
    <font>
      <sz val="13"/>
      <color rgb="FFFFFFFF"/>
      <name val="Arial"/>
      <charset val="1"/>
    </font>
    <font>
      <sz val="9"/>
      <color rgb="FF1F3864"/>
      <name val="Arial"/>
      <charset val="1"/>
    </font>
    <font>
      <sz val="8"/>
      <color rgb="FF000000"/>
      <name val="Arial"/>
      <charset val="1"/>
    </font>
    <font>
      <sz val="7"/>
      <color rgb="FF595959"/>
      <name val="Arial"/>
      <charset val="1"/>
    </font>
    <font>
      <b/>
      <sz val="9.5"/>
      <color rgb="FF1F3864"/>
      <name val="Arial"/>
      <charset val="1"/>
    </font>
    <font>
      <b/>
      <sz val="9"/>
      <color rgb="FF1F3864"/>
      <name val="Arial"/>
      <charset val="1"/>
    </font>
    <font>
      <sz val="9"/>
      <color rgb="FF000000"/>
      <name val="Arial"/>
      <charset val="1"/>
    </font>
    <font>
      <sz val="9"/>
      <color rgb="FF0000FF"/>
      <name val="Arial"/>
      <charset val="1"/>
    </font>
    <font>
      <b/>
      <sz val="9"/>
      <color rgb="FF000000"/>
      <name val="Arial"/>
      <charset val="1"/>
    </font>
    <font>
      <b/>
      <sz val="8"/>
      <color rgb="FFFFFFFF"/>
      <name val="Arial"/>
      <charset val="1"/>
    </font>
    <font>
      <b/>
      <sz val="10"/>
      <color rgb="FF000000"/>
      <name val="Arial"/>
      <charset val="1"/>
    </font>
    <font>
      <b/>
      <sz val="13"/>
      <color rgb="FF000000"/>
      <name val="Arial"/>
      <charset val="1"/>
    </font>
    <font>
      <i/>
      <sz val="9"/>
      <color rgb="FF000000"/>
      <name val="Arial"/>
      <charset val="1"/>
    </font>
    <font>
      <sz val="9.5"/>
      <color rgb="FF000000"/>
      <name val="Arial"/>
      <charset val="1"/>
    </font>
  </fonts>
  <fills count="14">
    <fill>
      <patternFill patternType="none"/>
    </fill>
    <fill>
      <patternFill patternType="gray125"/>
    </fill>
    <fill>
      <patternFill patternType="solid">
        <fgColor rgb="FF0070C0"/>
        <bgColor rgb="FF008080"/>
      </patternFill>
    </fill>
    <fill>
      <patternFill patternType="solid">
        <fgColor rgb="FFD9E2F3"/>
        <bgColor rgb="FFE7E6E6"/>
      </patternFill>
    </fill>
    <fill>
      <patternFill patternType="solid">
        <fgColor rgb="FFE7E6E6"/>
        <bgColor rgb="FFEDEDED"/>
      </patternFill>
    </fill>
    <fill>
      <patternFill patternType="solid">
        <fgColor rgb="FFBFBFBF"/>
        <bgColor rgb="FFBDD7EE"/>
      </patternFill>
    </fill>
    <fill>
      <patternFill patternType="solid">
        <fgColor rgb="FFF2F2F2"/>
        <bgColor rgb="FFEDEDED"/>
      </patternFill>
    </fill>
    <fill>
      <patternFill patternType="solid">
        <fgColor rgb="FF1F3864"/>
        <bgColor rgb="FF333333"/>
      </patternFill>
    </fill>
    <fill>
      <patternFill patternType="solid">
        <fgColor rgb="FF70AD47"/>
        <bgColor rgb="FF339966"/>
      </patternFill>
    </fill>
    <fill>
      <patternFill patternType="solid">
        <fgColor rgb="FFFFC000"/>
        <bgColor rgb="FFFF9900"/>
      </patternFill>
    </fill>
    <fill>
      <patternFill patternType="solid">
        <fgColor rgb="FF29ABE2"/>
        <bgColor rgb="FF00CCFF"/>
      </patternFill>
    </fill>
    <fill>
      <patternFill patternType="solid">
        <fgColor rgb="FFBDD7EE"/>
        <bgColor rgb="FFD9D9D9"/>
      </patternFill>
    </fill>
    <fill>
      <patternFill patternType="solid">
        <fgColor rgb="FFC00000"/>
        <bgColor rgb="FF800000"/>
      </patternFill>
    </fill>
    <fill>
      <patternFill patternType="solid">
        <fgColor rgb="FFEDEDED"/>
        <b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7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left" vertical="center" indent="1"/>
    </xf>
    <xf numFmtId="0" fontId="5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vertical="center" wrapText="1" indent="1"/>
    </xf>
    <xf numFmtId="0" fontId="1" fillId="0" borderId="0" xfId="0" applyFont="1"/>
    <xf numFmtId="0" fontId="2" fillId="0" borderId="0" xfId="0" applyFont="1"/>
    <xf numFmtId="0" fontId="3" fillId="0" borderId="0" xfId="0" applyFont="1"/>
    <xf numFmtId="164" fontId="0" fillId="0" borderId="0" xfId="0" applyNumberFormat="1"/>
    <xf numFmtId="0" fontId="8" fillId="4" borderId="1" xfId="0" applyFont="1" applyFill="1" applyBorder="1" applyAlignment="1">
      <alignment horizontal="center"/>
    </xf>
    <xf numFmtId="0" fontId="8" fillId="5" borderId="1" xfId="0" applyFont="1" applyFill="1" applyBorder="1" applyAlignment="1">
      <alignment horizontal="center"/>
    </xf>
    <xf numFmtId="0" fontId="9" fillId="4" borderId="1" xfId="0" applyFont="1" applyFill="1" applyBorder="1" applyAlignment="1">
      <alignment horizontal="center"/>
    </xf>
    <xf numFmtId="0" fontId="9" fillId="5" borderId="1" xfId="0" applyFont="1" applyFill="1" applyBorder="1" applyAlignment="1">
      <alignment horizontal="center"/>
    </xf>
    <xf numFmtId="0" fontId="10" fillId="6" borderId="1" xfId="0" applyFont="1" applyFill="1" applyBorder="1" applyAlignment="1">
      <alignment vertical="center" wrapText="1"/>
    </xf>
    <xf numFmtId="0" fontId="11" fillId="6" borderId="1" xfId="0" applyFont="1" applyFill="1" applyBorder="1" applyAlignment="1">
      <alignment horizontal="center" vertical="center"/>
    </xf>
    <xf numFmtId="0" fontId="0" fillId="6" borderId="1" xfId="0" applyFill="1" applyBorder="1"/>
    <xf numFmtId="0" fontId="12" fillId="0" borderId="1" xfId="0" applyFont="1" applyBorder="1" applyAlignment="1">
      <alignment vertical="center" indent="2"/>
    </xf>
    <xf numFmtId="0" fontId="0" fillId="0" borderId="1" xfId="0" applyBorder="1" applyAlignment="1">
      <alignment horizontal="center" vertical="center"/>
    </xf>
    <xf numFmtId="49" fontId="13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0" fillId="0" borderId="1" xfId="0" applyBorder="1"/>
    <xf numFmtId="0" fontId="10" fillId="6" borderId="1" xfId="0" applyFont="1" applyFill="1" applyBorder="1"/>
    <xf numFmtId="0" fontId="0" fillId="6" borderId="1" xfId="0" applyFill="1" applyBorder="1" applyAlignment="1">
      <alignment horizontal="center" vertical="center"/>
    </xf>
    <xf numFmtId="0" fontId="14" fillId="0" borderId="1" xfId="0" applyFont="1" applyBorder="1" applyAlignment="1">
      <alignment vertical="center" indent="2"/>
    </xf>
    <xf numFmtId="0" fontId="15" fillId="0" borderId="1" xfId="0" applyFont="1" applyBorder="1" applyAlignment="1">
      <alignment horizontal="center"/>
    </xf>
    <xf numFmtId="0" fontId="16" fillId="0" borderId="0" xfId="0" applyFont="1"/>
    <xf numFmtId="0" fontId="12" fillId="0" borderId="0" xfId="0" applyFont="1" applyAlignment="1">
      <alignment horizontal="right"/>
    </xf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0" fontId="0" fillId="11" borderId="1" xfId="0" applyFill="1" applyBorder="1"/>
    <xf numFmtId="0" fontId="0" fillId="12" borderId="1" xfId="0" applyFill="1" applyBorder="1"/>
    <xf numFmtId="0" fontId="0" fillId="13" borderId="1" xfId="0" applyFill="1" applyBorder="1"/>
    <xf numFmtId="0" fontId="17" fillId="0" borderId="0" xfId="0" applyFont="1"/>
    <xf numFmtId="0" fontId="18" fillId="0" borderId="0" xfId="0" applyFont="1"/>
    <xf numFmtId="0" fontId="5" fillId="2" borderId="1" xfId="0" applyFont="1" applyFill="1" applyBorder="1" applyAlignment="1">
      <alignment vertical="center" wrapText="1"/>
    </xf>
    <xf numFmtId="0" fontId="19" fillId="0" borderId="1" xfId="0" applyFont="1" applyBorder="1" applyAlignment="1">
      <alignment horizontal="left" vertical="top" wrapText="1"/>
    </xf>
    <xf numFmtId="0" fontId="19" fillId="0" borderId="1" xfId="0" applyFont="1" applyBorder="1" applyAlignment="1">
      <alignment horizontal="center" vertical="top" wrapText="1"/>
    </xf>
  </cellXfs>
  <cellStyles count="1">
    <cellStyle name="Normal" xfId="0" builtinId="0"/>
  </cellStyles>
  <dxfs count="25"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EDEDED"/>
        </patternFill>
      </fill>
    </dxf>
    <dxf>
      <fill>
        <patternFill>
          <bgColor rgb="FF29ABE2"/>
        </patternFill>
      </fill>
    </dxf>
    <dxf>
      <fill>
        <patternFill>
          <bgColor rgb="FFBDD7EE"/>
        </patternFill>
      </fill>
    </dxf>
    <dxf>
      <fill>
        <patternFill>
          <bgColor rgb="FFFFC000"/>
        </patternFill>
      </fill>
    </dxf>
    <dxf>
      <fill>
        <patternFill>
          <bgColor rgb="FF70AD47"/>
        </patternFill>
      </fill>
    </dxf>
    <dxf>
      <fill>
        <patternFill>
          <bgColor rgb="FFD9D9D9"/>
        </patternFill>
      </fill>
    </dxf>
    <dxf>
      <fill>
        <patternFill>
          <bgColor rgb="FF1F3864"/>
        </patternFill>
      </fill>
    </dxf>
    <dxf>
      <fill>
        <patternFill>
          <bgColor rgb="FFC00000"/>
        </patternFill>
      </fill>
    </dxf>
    <dxf>
      <fill>
        <patternFill>
          <bgColor rgb="FFE7E6E6"/>
        </patternFill>
      </fill>
    </dxf>
    <dxf>
      <fill>
        <patternFill>
          <bgColor rgb="FFBFBFBF"/>
        </patternFill>
      </fill>
    </dxf>
    <dxf>
      <fill>
        <patternFill>
          <bgColor rgb="FFD9E2F3"/>
        </patternFill>
      </fill>
    </dxf>
    <dxf>
      <font>
        <color rgb="FFFFFFFF"/>
        <name val="Arial"/>
        <charset val="1"/>
      </font>
      <fill>
        <patternFill>
          <bgColor rgb="FF0070C0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EDEDED"/>
        </patternFill>
      </fill>
    </dxf>
    <dxf>
      <fill>
        <patternFill>
          <bgColor rgb="FFC00000"/>
        </patternFill>
      </fill>
    </dxf>
    <dxf>
      <fill>
        <patternFill>
          <bgColor rgb="FFBDD7EE"/>
        </patternFill>
      </fill>
    </dxf>
    <dxf>
      <fill>
        <patternFill>
          <bgColor rgb="FF29ABE2"/>
        </patternFill>
      </fill>
    </dxf>
    <dxf>
      <fill>
        <patternFill>
          <bgColor rgb="FFFFC000"/>
        </patternFill>
      </fill>
    </dxf>
    <dxf>
      <fill>
        <patternFill>
          <bgColor rgb="FF70AD47"/>
        </patternFill>
      </fill>
    </dxf>
    <dxf>
      <fill>
        <patternFill>
          <bgColor rgb="FF1F3864"/>
        </patternFill>
      </fill>
    </dxf>
    <dxf>
      <fill>
        <patternFill>
          <bgColor rgb="FFF2F2F2"/>
        </patternFill>
      </fill>
    </dxf>
    <dxf>
      <font>
        <b/>
        <color rgb="FFFFFFFF"/>
        <name val="Arial"/>
        <charset val="1"/>
      </font>
      <fill>
        <patternFill>
          <bgColor rgb="FF0070C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EDEDED"/>
      <rgbColor rgb="FF660066"/>
      <rgbColor rgb="FFFF8080"/>
      <rgbColor rgb="FF0070C0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C6EFCE"/>
      <rgbColor rgb="FFFFEB9C"/>
      <rgbColor rgb="FFE7E6E6"/>
      <rgbColor rgb="FFFF99CC"/>
      <rgbColor rgb="FFCC99FF"/>
      <rgbColor rgb="FFD9D9D9"/>
      <rgbColor rgb="FF3366FF"/>
      <rgbColor rgb="FF29ABE2"/>
      <rgbColor rgb="FF99CC00"/>
      <rgbColor rgb="FFFFC000"/>
      <rgbColor rgb="FFFF9900"/>
      <rgbColor rgb="FFFF6600"/>
      <rgbColor rgb="FF595959"/>
      <rgbColor rgb="FF70AD47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CM101"/>
  <sheetViews>
    <sheetView showGridLines="0" tabSelected="1" zoomScale="85" zoomScaleNormal="85" workbookViewId="0">
      <pane xSplit="6" ySplit="9" topLeftCell="G19" activePane="bottomRight" state="frozen"/>
      <selection pane="topRight" activeCell="G1" sqref="G1"/>
      <selection pane="bottomLeft" activeCell="A10" sqref="A10"/>
      <selection pane="bottomRight" activeCell="A6" sqref="A6:A9"/>
    </sheetView>
  </sheetViews>
  <sheetFormatPr defaultColWidth="8.7109375" defaultRowHeight="15" x14ac:dyDescent="0.25"/>
  <cols>
    <col min="1" max="1" width="105.85546875" customWidth="1"/>
    <col min="2" max="2" width="8" customWidth="1"/>
    <col min="3" max="4" width="9.5703125" customWidth="1"/>
    <col min="5" max="5" width="6" customWidth="1"/>
    <col min="6" max="6" width="11" customWidth="1"/>
    <col min="7" max="85" width="3.42578125" customWidth="1"/>
    <col min="86" max="86" width="5.85546875" customWidth="1"/>
    <col min="88" max="91" width="13" hidden="1" customWidth="1"/>
  </cols>
  <sheetData>
    <row r="1" spans="1:91" ht="26.25" customHeight="1" x14ac:dyDescent="0.4">
      <c r="A1" s="5" t="s">
        <v>0</v>
      </c>
      <c r="B1" s="5"/>
      <c r="C1" s="5"/>
      <c r="D1" s="5"/>
      <c r="E1" s="5"/>
      <c r="F1" s="5"/>
    </row>
    <row r="2" spans="1:91" ht="15" customHeight="1" x14ac:dyDescent="0.25">
      <c r="A2" s="6" t="s">
        <v>1</v>
      </c>
    </row>
    <row r="4" spans="1:91" ht="15" customHeight="1" x14ac:dyDescent="0.25">
      <c r="A4" s="7"/>
    </row>
    <row r="5" spans="1:91" ht="15" hidden="1" customHeight="1" x14ac:dyDescent="0.25">
      <c r="G5" s="8">
        <v>46279</v>
      </c>
      <c r="H5" s="8">
        <v>46280</v>
      </c>
      <c r="I5" s="8">
        <v>46281</v>
      </c>
      <c r="J5" s="8">
        <v>46282</v>
      </c>
      <c r="K5" s="8">
        <v>46283</v>
      </c>
      <c r="L5" s="8">
        <v>46284</v>
      </c>
      <c r="M5" s="8">
        <v>46285</v>
      </c>
      <c r="N5" s="8">
        <v>46286</v>
      </c>
      <c r="O5" s="8">
        <v>46287</v>
      </c>
      <c r="P5" s="8">
        <v>46288</v>
      </c>
      <c r="Q5" s="8">
        <v>46289</v>
      </c>
      <c r="R5" s="8">
        <v>46290</v>
      </c>
      <c r="S5" s="8">
        <v>46291</v>
      </c>
      <c r="T5" s="8">
        <v>46292</v>
      </c>
      <c r="U5" s="8">
        <v>46293</v>
      </c>
      <c r="V5" s="8">
        <v>46294</v>
      </c>
      <c r="W5" s="8">
        <v>46295</v>
      </c>
      <c r="X5" s="8">
        <v>46296</v>
      </c>
      <c r="Y5" s="8">
        <v>46297</v>
      </c>
      <c r="Z5" s="8">
        <v>46298</v>
      </c>
      <c r="AA5" s="8">
        <v>46299</v>
      </c>
      <c r="AB5" s="8">
        <v>46300</v>
      </c>
      <c r="AC5" s="8">
        <v>46301</v>
      </c>
      <c r="AD5" s="8">
        <v>46302</v>
      </c>
      <c r="AE5" s="8">
        <v>46303</v>
      </c>
      <c r="AF5" s="8">
        <v>46304</v>
      </c>
      <c r="AG5" s="8">
        <v>46305</v>
      </c>
      <c r="AH5" s="8">
        <v>46306</v>
      </c>
      <c r="AI5" s="8">
        <v>46307</v>
      </c>
      <c r="AJ5" s="8">
        <v>46308</v>
      </c>
      <c r="AK5" s="8">
        <v>46309</v>
      </c>
      <c r="AL5" s="8">
        <v>46310</v>
      </c>
      <c r="AM5" s="8">
        <v>46311</v>
      </c>
      <c r="AN5" s="8">
        <v>46312</v>
      </c>
      <c r="AO5" s="8">
        <v>46313</v>
      </c>
      <c r="AP5" s="8">
        <v>46314</v>
      </c>
      <c r="AQ5" s="8">
        <v>46315</v>
      </c>
      <c r="AR5" s="8">
        <v>46316</v>
      </c>
      <c r="AS5" s="8">
        <v>46317</v>
      </c>
      <c r="AT5" s="8">
        <v>46318</v>
      </c>
      <c r="AU5" s="8">
        <v>46319</v>
      </c>
      <c r="AV5" s="8">
        <v>46320</v>
      </c>
      <c r="AW5" s="8">
        <v>46321</v>
      </c>
      <c r="AX5" s="8">
        <v>46322</v>
      </c>
      <c r="AY5" s="8">
        <v>46323</v>
      </c>
      <c r="AZ5" s="8">
        <v>46324</v>
      </c>
      <c r="BA5" s="8">
        <v>46325</v>
      </c>
      <c r="BB5" s="8">
        <v>46326</v>
      </c>
      <c r="BC5" s="8">
        <v>46327</v>
      </c>
      <c r="BD5" s="8">
        <v>46328</v>
      </c>
      <c r="BE5" s="8">
        <v>46329</v>
      </c>
      <c r="BF5" s="8">
        <v>46330</v>
      </c>
      <c r="BG5" s="8">
        <v>46331</v>
      </c>
      <c r="BH5" s="8">
        <v>46332</v>
      </c>
      <c r="BI5" s="8">
        <v>46333</v>
      </c>
      <c r="BJ5" s="8">
        <v>46334</v>
      </c>
      <c r="BK5" s="8">
        <v>46335</v>
      </c>
      <c r="BL5" s="8">
        <v>46336</v>
      </c>
      <c r="BM5" s="8">
        <v>46337</v>
      </c>
      <c r="BN5" s="8">
        <v>46338</v>
      </c>
      <c r="BO5" s="8">
        <v>46339</v>
      </c>
      <c r="BP5" s="8">
        <v>46340</v>
      </c>
      <c r="BQ5" s="8">
        <v>46341</v>
      </c>
      <c r="BR5" s="8">
        <v>46342</v>
      </c>
      <c r="BS5" s="8">
        <v>46343</v>
      </c>
      <c r="BT5" s="8">
        <v>46344</v>
      </c>
      <c r="BU5" s="8">
        <v>46345</v>
      </c>
      <c r="BV5" s="8">
        <v>46346</v>
      </c>
      <c r="BW5" s="8">
        <v>46347</v>
      </c>
      <c r="BX5" s="8">
        <v>46348</v>
      </c>
      <c r="BY5" s="8">
        <v>46349</v>
      </c>
      <c r="BZ5" s="8">
        <v>46350</v>
      </c>
      <c r="CA5" s="8">
        <v>46351</v>
      </c>
      <c r="CB5" s="8">
        <v>46352</v>
      </c>
      <c r="CC5" s="8">
        <v>46353</v>
      </c>
      <c r="CD5" s="8">
        <v>46354</v>
      </c>
      <c r="CE5" s="8">
        <v>46355</v>
      </c>
      <c r="CF5" s="8">
        <v>46356</v>
      </c>
      <c r="CG5" s="8">
        <v>46357</v>
      </c>
      <c r="CH5" s="8">
        <v>46358</v>
      </c>
    </row>
    <row r="6" spans="1:91" ht="24" customHeight="1" x14ac:dyDescent="0.25">
      <c r="A6" s="4" t="s">
        <v>2</v>
      </c>
      <c r="B6" s="3" t="s">
        <v>3</v>
      </c>
      <c r="C6" s="3" t="s">
        <v>4</v>
      </c>
      <c r="D6" s="3" t="s">
        <v>5</v>
      </c>
      <c r="E6" s="3" t="s">
        <v>6</v>
      </c>
      <c r="F6" s="3" t="s">
        <v>7</v>
      </c>
      <c r="G6" s="2" t="s">
        <v>8</v>
      </c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 t="s">
        <v>9</v>
      </c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 t="s">
        <v>10</v>
      </c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 t="s">
        <v>11</v>
      </c>
      <c r="CH6" s="2"/>
    </row>
    <row r="7" spans="1:91" ht="15.75" customHeight="1" x14ac:dyDescent="0.25">
      <c r="A7" s="4"/>
      <c r="B7" s="4"/>
      <c r="C7" s="4"/>
      <c r="D7" s="4"/>
      <c r="E7" s="4"/>
      <c r="F7" s="4"/>
      <c r="G7" s="1" t="s">
        <v>12</v>
      </c>
      <c r="H7" s="1"/>
      <c r="I7" s="1"/>
      <c r="J7" s="1"/>
      <c r="K7" s="1"/>
      <c r="L7" s="1"/>
      <c r="M7" s="1"/>
      <c r="N7" s="1" t="s">
        <v>13</v>
      </c>
      <c r="O7" s="1"/>
      <c r="P7" s="1"/>
      <c r="Q7" s="1"/>
      <c r="R7" s="1"/>
      <c r="S7" s="1"/>
      <c r="T7" s="1"/>
      <c r="U7" s="1" t="s">
        <v>14</v>
      </c>
      <c r="V7" s="1"/>
      <c r="W7" s="1"/>
      <c r="X7" s="1"/>
      <c r="Y7" s="1"/>
      <c r="Z7" s="1"/>
      <c r="AA7" s="1"/>
      <c r="AB7" s="1" t="s">
        <v>15</v>
      </c>
      <c r="AC7" s="1"/>
      <c r="AD7" s="1"/>
      <c r="AE7" s="1"/>
      <c r="AF7" s="1"/>
      <c r="AG7" s="1"/>
      <c r="AH7" s="1"/>
      <c r="AI7" s="1" t="s">
        <v>16</v>
      </c>
      <c r="AJ7" s="1"/>
      <c r="AK7" s="1"/>
      <c r="AL7" s="1"/>
      <c r="AM7" s="1"/>
      <c r="AN7" s="1"/>
      <c r="AO7" s="1"/>
      <c r="AP7" s="1" t="s">
        <v>17</v>
      </c>
      <c r="AQ7" s="1"/>
      <c r="AR7" s="1"/>
      <c r="AS7" s="1"/>
      <c r="AT7" s="1"/>
      <c r="AU7" s="1"/>
      <c r="AV7" s="1"/>
      <c r="AW7" s="1" t="s">
        <v>18</v>
      </c>
      <c r="AX7" s="1"/>
      <c r="AY7" s="1"/>
      <c r="AZ7" s="1"/>
      <c r="BA7" s="1"/>
      <c r="BB7" s="1"/>
      <c r="BC7" s="1"/>
      <c r="BD7" s="1" t="s">
        <v>19</v>
      </c>
      <c r="BE7" s="1"/>
      <c r="BF7" s="1"/>
      <c r="BG7" s="1"/>
      <c r="BH7" s="1"/>
      <c r="BI7" s="1"/>
      <c r="BJ7" s="1"/>
      <c r="BK7" s="1" t="s">
        <v>20</v>
      </c>
      <c r="BL7" s="1"/>
      <c r="BM7" s="1"/>
      <c r="BN7" s="1"/>
      <c r="BO7" s="1"/>
      <c r="BP7" s="1"/>
      <c r="BQ7" s="1"/>
      <c r="BR7" s="1" t="s">
        <v>21</v>
      </c>
      <c r="BS7" s="1"/>
      <c r="BT7" s="1"/>
      <c r="BU7" s="1"/>
      <c r="BV7" s="1"/>
      <c r="BW7" s="1"/>
      <c r="BX7" s="1"/>
      <c r="BY7" s="1" t="s">
        <v>22</v>
      </c>
      <c r="BZ7" s="1"/>
      <c r="CA7" s="1"/>
      <c r="CB7" s="1"/>
      <c r="CC7" s="1"/>
      <c r="CD7" s="1"/>
      <c r="CE7" s="1"/>
      <c r="CF7" s="1" t="s">
        <v>23</v>
      </c>
      <c r="CG7" s="1"/>
      <c r="CH7" s="1"/>
    </row>
    <row r="8" spans="1:91" ht="13.5" customHeight="1" x14ac:dyDescent="0.25">
      <c r="A8" s="4"/>
      <c r="B8" s="4"/>
      <c r="C8" s="4"/>
      <c r="D8" s="4"/>
      <c r="E8" s="4"/>
      <c r="F8" s="4"/>
      <c r="G8" s="9">
        <v>14</v>
      </c>
      <c r="H8" s="9">
        <v>15</v>
      </c>
      <c r="I8" s="9">
        <v>16</v>
      </c>
      <c r="J8" s="9">
        <v>17</v>
      </c>
      <c r="K8" s="9">
        <v>18</v>
      </c>
      <c r="L8" s="10">
        <v>19</v>
      </c>
      <c r="M8" s="10">
        <v>20</v>
      </c>
      <c r="N8" s="9">
        <v>21</v>
      </c>
      <c r="O8" s="9">
        <v>22</v>
      </c>
      <c r="P8" s="9">
        <v>23</v>
      </c>
      <c r="Q8" s="9">
        <v>24</v>
      </c>
      <c r="R8" s="9">
        <v>25</v>
      </c>
      <c r="S8" s="10">
        <v>26</v>
      </c>
      <c r="T8" s="10">
        <v>27</v>
      </c>
      <c r="U8" s="9">
        <v>28</v>
      </c>
      <c r="V8" s="9">
        <v>29</v>
      </c>
      <c r="W8" s="9">
        <v>30</v>
      </c>
      <c r="X8" s="9">
        <v>1</v>
      </c>
      <c r="Y8" s="9">
        <v>2</v>
      </c>
      <c r="Z8" s="10">
        <v>3</v>
      </c>
      <c r="AA8" s="10">
        <v>4</v>
      </c>
      <c r="AB8" s="9">
        <v>5</v>
      </c>
      <c r="AC8" s="9">
        <v>6</v>
      </c>
      <c r="AD8" s="9">
        <v>7</v>
      </c>
      <c r="AE8" s="9">
        <v>8</v>
      </c>
      <c r="AF8" s="9">
        <v>9</v>
      </c>
      <c r="AG8" s="10">
        <v>10</v>
      </c>
      <c r="AH8" s="10">
        <v>11</v>
      </c>
      <c r="AI8" s="9">
        <v>12</v>
      </c>
      <c r="AJ8" s="9">
        <v>13</v>
      </c>
      <c r="AK8" s="9">
        <v>14</v>
      </c>
      <c r="AL8" s="9">
        <v>15</v>
      </c>
      <c r="AM8" s="9">
        <v>16</v>
      </c>
      <c r="AN8" s="10">
        <v>17</v>
      </c>
      <c r="AO8" s="10">
        <v>18</v>
      </c>
      <c r="AP8" s="9">
        <v>19</v>
      </c>
      <c r="AQ8" s="9">
        <v>20</v>
      </c>
      <c r="AR8" s="9">
        <v>21</v>
      </c>
      <c r="AS8" s="9">
        <v>22</v>
      </c>
      <c r="AT8" s="9">
        <v>23</v>
      </c>
      <c r="AU8" s="10">
        <v>24</v>
      </c>
      <c r="AV8" s="10">
        <v>25</v>
      </c>
      <c r="AW8" s="9">
        <v>26</v>
      </c>
      <c r="AX8" s="9">
        <v>27</v>
      </c>
      <c r="AY8" s="9">
        <v>28</v>
      </c>
      <c r="AZ8" s="9">
        <v>29</v>
      </c>
      <c r="BA8" s="9">
        <v>30</v>
      </c>
      <c r="BB8" s="10">
        <v>31</v>
      </c>
      <c r="BC8" s="10">
        <v>1</v>
      </c>
      <c r="BD8" s="9">
        <v>2</v>
      </c>
      <c r="BE8" s="9">
        <v>3</v>
      </c>
      <c r="BF8" s="9">
        <v>4</v>
      </c>
      <c r="BG8" s="9">
        <v>5</v>
      </c>
      <c r="BH8" s="9">
        <v>6</v>
      </c>
      <c r="BI8" s="10">
        <v>7</v>
      </c>
      <c r="BJ8" s="10">
        <v>8</v>
      </c>
      <c r="BK8" s="9">
        <v>9</v>
      </c>
      <c r="BL8" s="9">
        <v>10</v>
      </c>
      <c r="BM8" s="9">
        <v>11</v>
      </c>
      <c r="BN8" s="9">
        <v>12</v>
      </c>
      <c r="BO8" s="9">
        <v>13</v>
      </c>
      <c r="BP8" s="10">
        <v>14</v>
      </c>
      <c r="BQ8" s="10">
        <v>15</v>
      </c>
      <c r="BR8" s="9">
        <v>16</v>
      </c>
      <c r="BS8" s="9">
        <v>17</v>
      </c>
      <c r="BT8" s="9">
        <v>18</v>
      </c>
      <c r="BU8" s="9">
        <v>19</v>
      </c>
      <c r="BV8" s="9">
        <v>20</v>
      </c>
      <c r="BW8" s="10">
        <v>21</v>
      </c>
      <c r="BX8" s="10">
        <v>22</v>
      </c>
      <c r="BY8" s="9">
        <v>23</v>
      </c>
      <c r="BZ8" s="9">
        <v>24</v>
      </c>
      <c r="CA8" s="9">
        <v>25</v>
      </c>
      <c r="CB8" s="9">
        <v>26</v>
      </c>
      <c r="CC8" s="9">
        <v>27</v>
      </c>
      <c r="CD8" s="10">
        <v>28</v>
      </c>
      <c r="CE8" s="10">
        <v>29</v>
      </c>
      <c r="CF8" s="9">
        <v>30</v>
      </c>
      <c r="CG8" s="9">
        <v>1</v>
      </c>
      <c r="CH8" s="9">
        <v>2</v>
      </c>
    </row>
    <row r="9" spans="1:91" ht="12.75" customHeight="1" x14ac:dyDescent="0.25">
      <c r="A9" s="4"/>
      <c r="B9" s="4"/>
      <c r="C9" s="4"/>
      <c r="D9" s="4"/>
      <c r="E9" s="4"/>
      <c r="F9" s="4"/>
      <c r="G9" s="11" t="s">
        <v>24</v>
      </c>
      <c r="H9" s="11" t="s">
        <v>25</v>
      </c>
      <c r="I9" s="11" t="s">
        <v>26</v>
      </c>
      <c r="J9" s="11" t="s">
        <v>25</v>
      </c>
      <c r="K9" s="11" t="s">
        <v>27</v>
      </c>
      <c r="L9" s="12" t="s">
        <v>28</v>
      </c>
      <c r="M9" s="12" t="s">
        <v>28</v>
      </c>
      <c r="N9" s="11" t="s">
        <v>24</v>
      </c>
      <c r="O9" s="11" t="s">
        <v>25</v>
      </c>
      <c r="P9" s="11" t="s">
        <v>26</v>
      </c>
      <c r="Q9" s="11" t="s">
        <v>25</v>
      </c>
      <c r="R9" s="11" t="s">
        <v>27</v>
      </c>
      <c r="S9" s="12" t="s">
        <v>28</v>
      </c>
      <c r="T9" s="12" t="s">
        <v>28</v>
      </c>
      <c r="U9" s="11" t="s">
        <v>24</v>
      </c>
      <c r="V9" s="11" t="s">
        <v>25</v>
      </c>
      <c r="W9" s="11" t="s">
        <v>26</v>
      </c>
      <c r="X9" s="11" t="s">
        <v>25</v>
      </c>
      <c r="Y9" s="11" t="s">
        <v>27</v>
      </c>
      <c r="Z9" s="12" t="s">
        <v>28</v>
      </c>
      <c r="AA9" s="12" t="s">
        <v>28</v>
      </c>
      <c r="AB9" s="11" t="s">
        <v>24</v>
      </c>
      <c r="AC9" s="11" t="s">
        <v>25</v>
      </c>
      <c r="AD9" s="11" t="s">
        <v>26</v>
      </c>
      <c r="AE9" s="11" t="s">
        <v>25</v>
      </c>
      <c r="AF9" s="11" t="s">
        <v>27</v>
      </c>
      <c r="AG9" s="12" t="s">
        <v>28</v>
      </c>
      <c r="AH9" s="12" t="s">
        <v>28</v>
      </c>
      <c r="AI9" s="11" t="s">
        <v>24</v>
      </c>
      <c r="AJ9" s="11" t="s">
        <v>25</v>
      </c>
      <c r="AK9" s="11" t="s">
        <v>26</v>
      </c>
      <c r="AL9" s="11" t="s">
        <v>25</v>
      </c>
      <c r="AM9" s="11" t="s">
        <v>27</v>
      </c>
      <c r="AN9" s="12" t="s">
        <v>28</v>
      </c>
      <c r="AO9" s="12" t="s">
        <v>28</v>
      </c>
      <c r="AP9" s="11" t="s">
        <v>24</v>
      </c>
      <c r="AQ9" s="11" t="s">
        <v>25</v>
      </c>
      <c r="AR9" s="11" t="s">
        <v>26</v>
      </c>
      <c r="AS9" s="11" t="s">
        <v>25</v>
      </c>
      <c r="AT9" s="11" t="s">
        <v>27</v>
      </c>
      <c r="AU9" s="12" t="s">
        <v>28</v>
      </c>
      <c r="AV9" s="12" t="s">
        <v>28</v>
      </c>
      <c r="AW9" s="11" t="s">
        <v>24</v>
      </c>
      <c r="AX9" s="11" t="s">
        <v>25</v>
      </c>
      <c r="AY9" s="11" t="s">
        <v>26</v>
      </c>
      <c r="AZ9" s="11" t="s">
        <v>25</v>
      </c>
      <c r="BA9" s="11" t="s">
        <v>27</v>
      </c>
      <c r="BB9" s="12" t="s">
        <v>28</v>
      </c>
      <c r="BC9" s="12" t="s">
        <v>28</v>
      </c>
      <c r="BD9" s="11" t="s">
        <v>24</v>
      </c>
      <c r="BE9" s="11" t="s">
        <v>25</v>
      </c>
      <c r="BF9" s="11" t="s">
        <v>26</v>
      </c>
      <c r="BG9" s="11" t="s">
        <v>25</v>
      </c>
      <c r="BH9" s="11" t="s">
        <v>27</v>
      </c>
      <c r="BI9" s="12" t="s">
        <v>28</v>
      </c>
      <c r="BJ9" s="12" t="s">
        <v>28</v>
      </c>
      <c r="BK9" s="11" t="s">
        <v>24</v>
      </c>
      <c r="BL9" s="11" t="s">
        <v>25</v>
      </c>
      <c r="BM9" s="11" t="s">
        <v>26</v>
      </c>
      <c r="BN9" s="11" t="s">
        <v>25</v>
      </c>
      <c r="BO9" s="11" t="s">
        <v>27</v>
      </c>
      <c r="BP9" s="12" t="s">
        <v>28</v>
      </c>
      <c r="BQ9" s="12" t="s">
        <v>28</v>
      </c>
      <c r="BR9" s="11" t="s">
        <v>24</v>
      </c>
      <c r="BS9" s="11" t="s">
        <v>25</v>
      </c>
      <c r="BT9" s="11" t="s">
        <v>26</v>
      </c>
      <c r="BU9" s="11" t="s">
        <v>25</v>
      </c>
      <c r="BV9" s="11" t="s">
        <v>27</v>
      </c>
      <c r="BW9" s="12" t="s">
        <v>28</v>
      </c>
      <c r="BX9" s="12" t="s">
        <v>28</v>
      </c>
      <c r="BY9" s="11" t="s">
        <v>24</v>
      </c>
      <c r="BZ9" s="11" t="s">
        <v>25</v>
      </c>
      <c r="CA9" s="11" t="s">
        <v>26</v>
      </c>
      <c r="CB9" s="11" t="s">
        <v>25</v>
      </c>
      <c r="CC9" s="11" t="s">
        <v>27</v>
      </c>
      <c r="CD9" s="12" t="s">
        <v>28</v>
      </c>
      <c r="CE9" s="12" t="s">
        <v>28</v>
      </c>
      <c r="CF9" s="11" t="s">
        <v>24</v>
      </c>
      <c r="CG9" s="11" t="s">
        <v>25</v>
      </c>
      <c r="CH9" s="11" t="s">
        <v>26</v>
      </c>
      <c r="CL9" t="s">
        <v>29</v>
      </c>
      <c r="CM9" t="s">
        <v>30</v>
      </c>
    </row>
    <row r="10" spans="1:91" ht="15" customHeight="1" x14ac:dyDescent="0.25">
      <c r="A10" s="13" t="s">
        <v>31</v>
      </c>
      <c r="B10" s="14" t="s">
        <v>32</v>
      </c>
      <c r="C10" s="14" t="str">
        <f>DAY(CL10)&amp;" "&amp;INDEX(Lists!$A$1:$A$12,MONTH(CL10))</f>
        <v>14 Sep</v>
      </c>
      <c r="D10" s="14" t="str">
        <f>DAY(CM10)&amp;" "&amp;INDEX(Lists!$A$1:$A$12,MONTH(CM10))</f>
        <v>2 Oct</v>
      </c>
      <c r="E10" s="14">
        <f>CM10-CL10+1</f>
        <v>19</v>
      </c>
      <c r="F10" s="14" t="str">
        <f>IF(COUNTIF(F11:F13,"Done")=3,"Done",IF(COUNTIF(F11:F13,"Not started")=3,"Not started","In progress"))</f>
        <v>Done</v>
      </c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5"/>
      <c r="AK10" s="15"/>
      <c r="AL10" s="15"/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  <c r="AX10" s="15"/>
      <c r="AY10" s="15"/>
      <c r="AZ10" s="15"/>
      <c r="BA10" s="15"/>
      <c r="BB10" s="15"/>
      <c r="BC10" s="15"/>
      <c r="BD10" s="15"/>
      <c r="BE10" s="15"/>
      <c r="BF10" s="15"/>
      <c r="BG10" s="15"/>
      <c r="BH10" s="15"/>
      <c r="BI10" s="15"/>
      <c r="BJ10" s="15"/>
      <c r="BK10" s="15"/>
      <c r="BL10" s="15"/>
      <c r="BM10" s="15"/>
      <c r="BN10" s="15"/>
      <c r="BO10" s="15"/>
      <c r="BP10" s="15"/>
      <c r="BQ10" s="15"/>
      <c r="BR10" s="15"/>
      <c r="BS10" s="15"/>
      <c r="BT10" s="15"/>
      <c r="BU10" s="15"/>
      <c r="BV10" s="15"/>
      <c r="BW10" s="15"/>
      <c r="BX10" s="15"/>
      <c r="BY10" s="15"/>
      <c r="BZ10" s="15"/>
      <c r="CA10" s="15"/>
      <c r="CB10" s="15"/>
      <c r="CC10" s="15"/>
      <c r="CD10" s="15"/>
      <c r="CE10" s="15"/>
      <c r="CF10" s="15"/>
      <c r="CG10" s="15"/>
      <c r="CH10" s="15"/>
      <c r="CJ10" t="s">
        <v>33</v>
      </c>
      <c r="CL10" s="8">
        <f>MIN(CL11:CL13)</f>
        <v>46279</v>
      </c>
      <c r="CM10" s="8">
        <f>MAX(CM11:CM13)</f>
        <v>46297</v>
      </c>
    </row>
    <row r="11" spans="1:91" ht="14.25" customHeight="1" x14ac:dyDescent="0.25">
      <c r="A11" s="16" t="s">
        <v>34</v>
      </c>
      <c r="B11" s="17"/>
      <c r="C11" s="18" t="s">
        <v>35</v>
      </c>
      <c r="D11" s="18" t="s">
        <v>36</v>
      </c>
      <c r="E11" s="19">
        <f>IF(OR(CL11="",CM11=""),"",CM11-CL11+1)</f>
        <v>3</v>
      </c>
      <c r="F11" s="20" t="s">
        <v>37</v>
      </c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  <c r="AH11" s="21"/>
      <c r="AI11" s="21"/>
      <c r="AJ11" s="21"/>
      <c r="AK11" s="21"/>
      <c r="AL11" s="21"/>
      <c r="AM11" s="21"/>
      <c r="AN11" s="21"/>
      <c r="AO11" s="21"/>
      <c r="AP11" s="21"/>
      <c r="AQ11" s="21"/>
      <c r="AR11" s="21"/>
      <c r="AS11" s="21"/>
      <c r="AT11" s="21"/>
      <c r="AU11" s="21"/>
      <c r="AV11" s="21"/>
      <c r="AW11" s="21"/>
      <c r="AX11" s="21"/>
      <c r="AY11" s="21"/>
      <c r="AZ11" s="21"/>
      <c r="BA11" s="21"/>
      <c r="BB11" s="21"/>
      <c r="BC11" s="21"/>
      <c r="BD11" s="21"/>
      <c r="BE11" s="21"/>
      <c r="BF11" s="21"/>
      <c r="BG11" s="21"/>
      <c r="BH11" s="21"/>
      <c r="BI11" s="21"/>
      <c r="BJ11" s="21"/>
      <c r="BK11" s="21"/>
      <c r="BL11" s="21"/>
      <c r="BM11" s="21"/>
      <c r="BN11" s="21"/>
      <c r="BO11" s="21"/>
      <c r="BP11" s="21"/>
      <c r="BQ11" s="21"/>
      <c r="BR11" s="21"/>
      <c r="BS11" s="21"/>
      <c r="BT11" s="21"/>
      <c r="BU11" s="21"/>
      <c r="BV11" s="21"/>
      <c r="BW11" s="21"/>
      <c r="BX11" s="21"/>
      <c r="BY11" s="21"/>
      <c r="BZ11" s="21"/>
      <c r="CA11" s="21"/>
      <c r="CB11" s="21"/>
      <c r="CC11" s="21"/>
      <c r="CD11" s="21"/>
      <c r="CE11" s="21"/>
      <c r="CF11" s="21"/>
      <c r="CG11" s="21"/>
      <c r="CH11" s="21"/>
      <c r="CJ11" t="s">
        <v>38</v>
      </c>
      <c r="CL11" s="8">
        <f>IFERROR(IF(TRIM(C11)="","",IF(ISNUMBER(C11),C11,DATE(2026,MATCH(LEFT(MID(TRIM(C11),FIND(" ",TRIM(C11))+1,9),3),Lists!$A$1:$A$12,0),VALUE(LEFT(TRIM(C11),FIND(" ",TRIM(C11))-1))))),"")</f>
        <v>46279</v>
      </c>
      <c r="CM11" s="8">
        <f>IFERROR(IF(TRIM(D11)="","",IF(ISNUMBER(D11),D11,DATE(2026,MATCH(LEFT(MID(TRIM(D11),FIND(" ",TRIM(D11))+1,9),3),Lists!$A$1:$A$12,0),VALUE(LEFT(TRIM(D11),FIND(" ",TRIM(D11))-1))))),"")</f>
        <v>46281</v>
      </c>
    </row>
    <row r="12" spans="1:91" ht="14.25" customHeight="1" x14ac:dyDescent="0.25">
      <c r="A12" s="16" t="s">
        <v>39</v>
      </c>
      <c r="B12" s="17"/>
      <c r="C12" s="18" t="s">
        <v>35</v>
      </c>
      <c r="D12" s="18" t="s">
        <v>40</v>
      </c>
      <c r="E12" s="19">
        <f>IF(OR(CL12="",CM12=""),"",CM12-CL12+1)</f>
        <v>5</v>
      </c>
      <c r="F12" s="20" t="s">
        <v>37</v>
      </c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  <c r="AH12" s="21"/>
      <c r="AI12" s="21"/>
      <c r="AJ12" s="21"/>
      <c r="AK12" s="21"/>
      <c r="AL12" s="21"/>
      <c r="AM12" s="21"/>
      <c r="AN12" s="21"/>
      <c r="AO12" s="21"/>
      <c r="AP12" s="21"/>
      <c r="AQ12" s="21"/>
      <c r="AR12" s="21"/>
      <c r="AS12" s="21"/>
      <c r="AT12" s="21"/>
      <c r="AU12" s="21"/>
      <c r="AV12" s="21"/>
      <c r="AW12" s="21"/>
      <c r="AX12" s="21"/>
      <c r="AY12" s="21"/>
      <c r="AZ12" s="21"/>
      <c r="BA12" s="21"/>
      <c r="BB12" s="21"/>
      <c r="BC12" s="21"/>
      <c r="BD12" s="21"/>
      <c r="BE12" s="21"/>
      <c r="BF12" s="21"/>
      <c r="BG12" s="21"/>
      <c r="BH12" s="21"/>
      <c r="BI12" s="21"/>
      <c r="BJ12" s="21"/>
      <c r="BK12" s="21"/>
      <c r="BL12" s="21"/>
      <c r="BM12" s="21"/>
      <c r="BN12" s="21"/>
      <c r="BO12" s="21"/>
      <c r="BP12" s="21"/>
      <c r="BQ12" s="21"/>
      <c r="BR12" s="21"/>
      <c r="BS12" s="21"/>
      <c r="BT12" s="21"/>
      <c r="BU12" s="21"/>
      <c r="BV12" s="21"/>
      <c r="BW12" s="21"/>
      <c r="BX12" s="21"/>
      <c r="BY12" s="21"/>
      <c r="BZ12" s="21"/>
      <c r="CA12" s="21"/>
      <c r="CB12" s="21"/>
      <c r="CC12" s="21"/>
      <c r="CD12" s="21"/>
      <c r="CE12" s="21"/>
      <c r="CF12" s="21"/>
      <c r="CG12" s="21"/>
      <c r="CH12" s="21"/>
      <c r="CJ12" t="s">
        <v>38</v>
      </c>
      <c r="CL12" s="8">
        <f>IFERROR(IF(TRIM(C12)="","",IF(ISNUMBER(C12),C12,DATE(2026,MATCH(LEFT(MID(TRIM(C12),FIND(" ",TRIM(C12))+1,9),3),Lists!$A$1:$A$12,0),VALUE(LEFT(TRIM(C12),FIND(" ",TRIM(C12))-1))))),"")</f>
        <v>46279</v>
      </c>
      <c r="CM12" s="8">
        <f>IFERROR(IF(TRIM(D12)="","",IF(ISNUMBER(D12),D12,DATE(2026,MATCH(LEFT(MID(TRIM(D12),FIND(" ",TRIM(D12))+1,9),3),Lists!$A$1:$A$12,0),VALUE(LEFT(TRIM(D12),FIND(" ",TRIM(D12))-1))))),"")</f>
        <v>46283</v>
      </c>
    </row>
    <row r="13" spans="1:91" ht="14.25" customHeight="1" x14ac:dyDescent="0.25">
      <c r="A13" s="16" t="s">
        <v>41</v>
      </c>
      <c r="B13" s="17"/>
      <c r="C13" s="18" t="s">
        <v>42</v>
      </c>
      <c r="D13" s="18" t="s">
        <v>43</v>
      </c>
      <c r="E13" s="19">
        <f>IF(OR(CL13="",CM13=""),"",CM13-CL13+1)</f>
        <v>5</v>
      </c>
      <c r="F13" s="20" t="s">
        <v>37</v>
      </c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  <c r="AH13" s="21"/>
      <c r="AI13" s="21"/>
      <c r="AJ13" s="21"/>
      <c r="AK13" s="21"/>
      <c r="AL13" s="21"/>
      <c r="AM13" s="21"/>
      <c r="AN13" s="21"/>
      <c r="AO13" s="21"/>
      <c r="AP13" s="21"/>
      <c r="AQ13" s="21"/>
      <c r="AR13" s="21"/>
      <c r="AS13" s="21"/>
      <c r="AT13" s="21"/>
      <c r="AU13" s="21"/>
      <c r="AV13" s="21"/>
      <c r="AW13" s="21"/>
      <c r="AX13" s="21"/>
      <c r="AY13" s="21"/>
      <c r="AZ13" s="21"/>
      <c r="BA13" s="21"/>
      <c r="BB13" s="21"/>
      <c r="BC13" s="21"/>
      <c r="BD13" s="21"/>
      <c r="BE13" s="21"/>
      <c r="BF13" s="21"/>
      <c r="BG13" s="21"/>
      <c r="BH13" s="21"/>
      <c r="BI13" s="21"/>
      <c r="BJ13" s="21"/>
      <c r="BK13" s="21"/>
      <c r="BL13" s="21"/>
      <c r="BM13" s="21"/>
      <c r="BN13" s="21"/>
      <c r="BO13" s="21"/>
      <c r="BP13" s="21"/>
      <c r="BQ13" s="21"/>
      <c r="BR13" s="21"/>
      <c r="BS13" s="21"/>
      <c r="BT13" s="21"/>
      <c r="BU13" s="21"/>
      <c r="BV13" s="21"/>
      <c r="BW13" s="21"/>
      <c r="BX13" s="21"/>
      <c r="BY13" s="21"/>
      <c r="BZ13" s="21"/>
      <c r="CA13" s="21"/>
      <c r="CB13" s="21"/>
      <c r="CC13" s="21"/>
      <c r="CD13" s="21"/>
      <c r="CE13" s="21"/>
      <c r="CF13" s="21"/>
      <c r="CG13" s="21"/>
      <c r="CH13" s="21"/>
      <c r="CJ13" t="s">
        <v>38</v>
      </c>
      <c r="CL13" s="8">
        <f>IFERROR(IF(TRIM(C13)="","",IF(ISNUMBER(C13),C13,DATE(2026,MATCH(LEFT(MID(TRIM(C13),FIND(" ",TRIM(C13))+1,9),3),Lists!$A$1:$A$12,0),VALUE(LEFT(TRIM(C13),FIND(" ",TRIM(C13))-1))))),"")</f>
        <v>46293</v>
      </c>
      <c r="CM13" s="8">
        <f>IFERROR(IF(TRIM(D13)="","",IF(ISNUMBER(D13),D13,DATE(2026,MATCH(LEFT(MID(TRIM(D13),FIND(" ",TRIM(D13))+1,9),3),Lists!$A$1:$A$12,0),VALUE(LEFT(TRIM(D13),FIND(" ",TRIM(D13))-1))))),"")</f>
        <v>46297</v>
      </c>
    </row>
    <row r="14" spans="1:91" ht="15" customHeight="1" x14ac:dyDescent="0.25">
      <c r="A14" s="13" t="s">
        <v>44</v>
      </c>
      <c r="B14" s="14" t="s">
        <v>45</v>
      </c>
      <c r="C14" s="14" t="str">
        <f>DAY(CL14)&amp;" "&amp;INDEX(Lists!$A$1:$A$12,MONTH(CL14))</f>
        <v>16 Sep</v>
      </c>
      <c r="D14" s="14" t="str">
        <f>DAY(CM14)&amp;" "&amp;INDEX(Lists!$A$1:$A$12,MONTH(CM14))</f>
        <v>2 Oct</v>
      </c>
      <c r="E14" s="14">
        <f>CM14-CL14+1</f>
        <v>17</v>
      </c>
      <c r="F14" s="14" t="str">
        <f>IF(COUNTIF(F15:F16,"Done")=2,"Done",IF(COUNTIF(F15:F16,"Not started")=2,"Not started","In progress"))</f>
        <v>Done</v>
      </c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  <c r="AS14" s="15"/>
      <c r="AT14" s="15"/>
      <c r="AU14" s="15"/>
      <c r="AV14" s="15"/>
      <c r="AW14" s="15"/>
      <c r="AX14" s="15"/>
      <c r="AY14" s="15"/>
      <c r="AZ14" s="15"/>
      <c r="BA14" s="15"/>
      <c r="BB14" s="15"/>
      <c r="BC14" s="15"/>
      <c r="BD14" s="15"/>
      <c r="BE14" s="15"/>
      <c r="BF14" s="15"/>
      <c r="BG14" s="15"/>
      <c r="BH14" s="15"/>
      <c r="BI14" s="15"/>
      <c r="BJ14" s="15"/>
      <c r="BK14" s="15"/>
      <c r="BL14" s="15"/>
      <c r="BM14" s="15"/>
      <c r="BN14" s="15"/>
      <c r="BO14" s="15"/>
      <c r="BP14" s="15"/>
      <c r="BQ14" s="15"/>
      <c r="BR14" s="15"/>
      <c r="BS14" s="15"/>
      <c r="BT14" s="15"/>
      <c r="BU14" s="15"/>
      <c r="BV14" s="15"/>
      <c r="BW14" s="15"/>
      <c r="BX14" s="15"/>
      <c r="BY14" s="15"/>
      <c r="BZ14" s="15"/>
      <c r="CA14" s="15"/>
      <c r="CB14" s="15"/>
      <c r="CC14" s="15"/>
      <c r="CD14" s="15"/>
      <c r="CE14" s="15"/>
      <c r="CF14" s="15"/>
      <c r="CG14" s="15"/>
      <c r="CH14" s="15"/>
      <c r="CJ14" t="s">
        <v>33</v>
      </c>
      <c r="CL14" s="8">
        <f>MIN(CL15:CL16)</f>
        <v>46281</v>
      </c>
      <c r="CM14" s="8">
        <f>MAX(CM15:CM16)</f>
        <v>46297</v>
      </c>
    </row>
    <row r="15" spans="1:91" ht="14.25" customHeight="1" x14ac:dyDescent="0.25">
      <c r="A15" s="16" t="s">
        <v>46</v>
      </c>
      <c r="B15" s="17"/>
      <c r="C15" s="18" t="s">
        <v>36</v>
      </c>
      <c r="D15" s="18" t="s">
        <v>40</v>
      </c>
      <c r="E15" s="19">
        <f>IF(OR(CL15="",CM15=""),"",CM15-CL15+1)</f>
        <v>3</v>
      </c>
      <c r="F15" s="20" t="s">
        <v>37</v>
      </c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1"/>
      <c r="AH15" s="21"/>
      <c r="AI15" s="21"/>
      <c r="AJ15" s="21"/>
      <c r="AK15" s="21"/>
      <c r="AL15" s="21"/>
      <c r="AM15" s="21"/>
      <c r="AN15" s="21"/>
      <c r="AO15" s="21"/>
      <c r="AP15" s="21"/>
      <c r="AQ15" s="21"/>
      <c r="AR15" s="21"/>
      <c r="AS15" s="21"/>
      <c r="AT15" s="21"/>
      <c r="AU15" s="21"/>
      <c r="AV15" s="21"/>
      <c r="AW15" s="21"/>
      <c r="AX15" s="21"/>
      <c r="AY15" s="21"/>
      <c r="AZ15" s="21"/>
      <c r="BA15" s="21"/>
      <c r="BB15" s="21"/>
      <c r="BC15" s="21"/>
      <c r="BD15" s="21"/>
      <c r="BE15" s="21"/>
      <c r="BF15" s="21"/>
      <c r="BG15" s="21"/>
      <c r="BH15" s="21"/>
      <c r="BI15" s="21"/>
      <c r="BJ15" s="21"/>
      <c r="BK15" s="21"/>
      <c r="BL15" s="21"/>
      <c r="BM15" s="21"/>
      <c r="BN15" s="21"/>
      <c r="BO15" s="21"/>
      <c r="BP15" s="21"/>
      <c r="BQ15" s="21"/>
      <c r="BR15" s="21"/>
      <c r="BS15" s="21"/>
      <c r="BT15" s="21"/>
      <c r="BU15" s="21"/>
      <c r="BV15" s="21"/>
      <c r="BW15" s="21"/>
      <c r="BX15" s="21"/>
      <c r="BY15" s="21"/>
      <c r="BZ15" s="21"/>
      <c r="CA15" s="21"/>
      <c r="CB15" s="21"/>
      <c r="CC15" s="21"/>
      <c r="CD15" s="21"/>
      <c r="CE15" s="21"/>
      <c r="CF15" s="21"/>
      <c r="CG15" s="21"/>
      <c r="CH15" s="21"/>
      <c r="CJ15" t="s">
        <v>38</v>
      </c>
      <c r="CL15" s="8">
        <f>IFERROR(IF(TRIM(C15)="","",IF(ISNUMBER(C15),C15,DATE(2026,MATCH(LEFT(MID(TRIM(C15),FIND(" ",TRIM(C15))+1,9),3),Lists!$A$1:$A$12,0),VALUE(LEFT(TRIM(C15),FIND(" ",TRIM(C15))-1))))),"")</f>
        <v>46281</v>
      </c>
      <c r="CM15" s="8">
        <f>IFERROR(IF(TRIM(D15)="","",IF(ISNUMBER(D15),D15,DATE(2026,MATCH(LEFT(MID(TRIM(D15),FIND(" ",TRIM(D15))+1,9),3),Lists!$A$1:$A$12,0),VALUE(LEFT(TRIM(D15),FIND(" ",TRIM(D15))-1))))),"")</f>
        <v>46283</v>
      </c>
    </row>
    <row r="16" spans="1:91" ht="14.25" customHeight="1" x14ac:dyDescent="0.25">
      <c r="A16" s="16" t="s">
        <v>47</v>
      </c>
      <c r="B16" s="17"/>
      <c r="C16" s="18" t="s">
        <v>48</v>
      </c>
      <c r="D16" s="18" t="s">
        <v>43</v>
      </c>
      <c r="E16" s="19">
        <f>IF(OR(CL16="",CM16=""),"",CM16-CL16+1)</f>
        <v>3</v>
      </c>
      <c r="F16" s="20" t="s">
        <v>37</v>
      </c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  <c r="AH16" s="21"/>
      <c r="AI16" s="21"/>
      <c r="AJ16" s="21"/>
      <c r="AK16" s="21"/>
      <c r="AL16" s="21"/>
      <c r="AM16" s="21"/>
      <c r="AN16" s="21"/>
      <c r="AO16" s="21"/>
      <c r="AP16" s="21"/>
      <c r="AQ16" s="21"/>
      <c r="AR16" s="21"/>
      <c r="AS16" s="21"/>
      <c r="AT16" s="21"/>
      <c r="AU16" s="21"/>
      <c r="AV16" s="21"/>
      <c r="AW16" s="21"/>
      <c r="AX16" s="21"/>
      <c r="AY16" s="21"/>
      <c r="AZ16" s="21"/>
      <c r="BA16" s="21"/>
      <c r="BB16" s="21"/>
      <c r="BC16" s="21"/>
      <c r="BD16" s="21"/>
      <c r="BE16" s="21"/>
      <c r="BF16" s="21"/>
      <c r="BG16" s="21"/>
      <c r="BH16" s="21"/>
      <c r="BI16" s="21"/>
      <c r="BJ16" s="21"/>
      <c r="BK16" s="21"/>
      <c r="BL16" s="21"/>
      <c r="BM16" s="21"/>
      <c r="BN16" s="21"/>
      <c r="BO16" s="21"/>
      <c r="BP16" s="21"/>
      <c r="BQ16" s="21"/>
      <c r="BR16" s="21"/>
      <c r="BS16" s="21"/>
      <c r="BT16" s="21"/>
      <c r="BU16" s="21"/>
      <c r="BV16" s="21"/>
      <c r="BW16" s="21"/>
      <c r="BX16" s="21"/>
      <c r="BY16" s="21"/>
      <c r="BZ16" s="21"/>
      <c r="CA16" s="21"/>
      <c r="CB16" s="21"/>
      <c r="CC16" s="21"/>
      <c r="CD16" s="21"/>
      <c r="CE16" s="21"/>
      <c r="CF16" s="21"/>
      <c r="CG16" s="21"/>
      <c r="CH16" s="21"/>
      <c r="CJ16" t="s">
        <v>38</v>
      </c>
      <c r="CL16" s="8">
        <f>IFERROR(IF(TRIM(C16)="","",IF(ISNUMBER(C16),C16,DATE(2026,MATCH(LEFT(MID(TRIM(C16),FIND(" ",TRIM(C16))+1,9),3),Lists!$A$1:$A$12,0),VALUE(LEFT(TRIM(C16),FIND(" ",TRIM(C16))-1))))),"")</f>
        <v>46295</v>
      </c>
      <c r="CM16" s="8">
        <f>IFERROR(IF(TRIM(D16)="","",IF(ISNUMBER(D16),D16,DATE(2026,MATCH(LEFT(MID(TRIM(D16),FIND(" ",TRIM(D16))+1,9),3),Lists!$A$1:$A$12,0),VALUE(LEFT(TRIM(D16),FIND(" ",TRIM(D16))-1))))),"")</f>
        <v>46297</v>
      </c>
    </row>
    <row r="17" spans="1:91" ht="15" customHeight="1" x14ac:dyDescent="0.25">
      <c r="A17" s="13" t="s">
        <v>49</v>
      </c>
      <c r="B17" s="14" t="s">
        <v>50</v>
      </c>
      <c r="C17" s="14" t="str">
        <f>DAY(CL17)&amp;" "&amp;INDEX(Lists!$A$1:$A$12,MONTH(CL17))</f>
        <v>17 Sep</v>
      </c>
      <c r="D17" s="14" t="str">
        <f>DAY(CM17)&amp;" "&amp;INDEX(Lists!$A$1:$A$12,MONTH(CM17))</f>
        <v>4 Nov</v>
      </c>
      <c r="E17" s="14">
        <f>CM17-CL17+1</f>
        <v>49</v>
      </c>
      <c r="F17" s="14" t="str">
        <f>IF(COUNTIF(F18:F21,"Done")=4,"Done",IF(COUNTIF(F18:F21,"Not started")=4,"Not started","In progress"))</f>
        <v>In progress</v>
      </c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  <c r="AX17" s="15"/>
      <c r="AY17" s="15"/>
      <c r="AZ17" s="15"/>
      <c r="BA17" s="15"/>
      <c r="BB17" s="15"/>
      <c r="BC17" s="15"/>
      <c r="BD17" s="15"/>
      <c r="BE17" s="15"/>
      <c r="BF17" s="15"/>
      <c r="BG17" s="15"/>
      <c r="BH17" s="15"/>
      <c r="BI17" s="15"/>
      <c r="BJ17" s="15"/>
      <c r="BK17" s="15"/>
      <c r="BL17" s="15"/>
      <c r="BM17" s="15"/>
      <c r="BN17" s="15"/>
      <c r="BO17" s="15"/>
      <c r="BP17" s="15"/>
      <c r="BQ17" s="15"/>
      <c r="BR17" s="15"/>
      <c r="BS17" s="15"/>
      <c r="BT17" s="15"/>
      <c r="BU17" s="15"/>
      <c r="BV17" s="15"/>
      <c r="BW17" s="15"/>
      <c r="BX17" s="15"/>
      <c r="BY17" s="15"/>
      <c r="BZ17" s="15"/>
      <c r="CA17" s="15"/>
      <c r="CB17" s="15"/>
      <c r="CC17" s="15"/>
      <c r="CD17" s="15"/>
      <c r="CE17" s="15"/>
      <c r="CF17" s="15"/>
      <c r="CG17" s="15"/>
      <c r="CH17" s="15"/>
      <c r="CJ17" t="s">
        <v>33</v>
      </c>
      <c r="CL17" s="8">
        <f>MIN(CL18:CL21)</f>
        <v>46282</v>
      </c>
      <c r="CM17" s="8">
        <f>MAX(CM18:CM21)</f>
        <v>46330</v>
      </c>
    </row>
    <row r="18" spans="1:91" ht="14.25" customHeight="1" x14ac:dyDescent="0.25">
      <c r="A18" s="16" t="s">
        <v>51</v>
      </c>
      <c r="B18" s="17"/>
      <c r="C18" s="18" t="s">
        <v>52</v>
      </c>
      <c r="D18" s="18" t="s">
        <v>53</v>
      </c>
      <c r="E18" s="19">
        <f>IF(OR(CL18="",CM18=""),"",CM18-CL18+1)</f>
        <v>3</v>
      </c>
      <c r="F18" s="20" t="s">
        <v>37</v>
      </c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21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21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21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21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21"/>
      <c r="CC18" s="21"/>
      <c r="CD18" s="21"/>
      <c r="CE18" s="21"/>
      <c r="CF18" s="21"/>
      <c r="CG18" s="21"/>
      <c r="CH18" s="21"/>
      <c r="CJ18" t="s">
        <v>38</v>
      </c>
      <c r="CL18" s="8">
        <f>IFERROR(IF(TRIM(C18)="","",IF(ISNUMBER(C18),C18,DATE(2026,MATCH(LEFT(MID(TRIM(C18),FIND(" ",TRIM(C18))+1,9),3),Lists!$A$1:$A$12,0),VALUE(LEFT(TRIM(C18),FIND(" ",TRIM(C18))-1))))),"")</f>
        <v>46282</v>
      </c>
      <c r="CM18" s="8">
        <f>IFERROR(IF(TRIM(D18)="","",IF(ISNUMBER(D18),D18,DATE(2026,MATCH(LEFT(MID(TRIM(D18),FIND(" ",TRIM(D18))+1,9),3),Lists!$A$1:$A$12,0),VALUE(LEFT(TRIM(D18),FIND(" ",TRIM(D18))-1))))),"")</f>
        <v>46284</v>
      </c>
    </row>
    <row r="19" spans="1:91" ht="14.25" customHeight="1" x14ac:dyDescent="0.25">
      <c r="A19" s="16" t="s">
        <v>54</v>
      </c>
      <c r="B19" s="17"/>
      <c r="C19" s="18" t="s">
        <v>55</v>
      </c>
      <c r="D19" s="18" t="s">
        <v>56</v>
      </c>
      <c r="E19" s="19">
        <f>IF(OR(CL19="",CM19=""),"",CM19-CL19+1)</f>
        <v>3</v>
      </c>
      <c r="F19" s="20" t="s">
        <v>37</v>
      </c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1"/>
      <c r="AH19" s="21"/>
      <c r="AI19" s="21"/>
      <c r="AJ19" s="21"/>
      <c r="AK19" s="21"/>
      <c r="AL19" s="21"/>
      <c r="AM19" s="21"/>
      <c r="AN19" s="21"/>
      <c r="AO19" s="21"/>
      <c r="AP19" s="21"/>
      <c r="AQ19" s="21"/>
      <c r="AR19" s="21"/>
      <c r="AS19" s="21"/>
      <c r="AT19" s="21"/>
      <c r="AU19" s="21"/>
      <c r="AV19" s="21"/>
      <c r="AW19" s="21"/>
      <c r="AX19" s="21"/>
      <c r="AY19" s="21"/>
      <c r="AZ19" s="21"/>
      <c r="BA19" s="21"/>
      <c r="BB19" s="21"/>
      <c r="BC19" s="21"/>
      <c r="BD19" s="21"/>
      <c r="BE19" s="21"/>
      <c r="BF19" s="21"/>
      <c r="BG19" s="21"/>
      <c r="BH19" s="21"/>
      <c r="BI19" s="21"/>
      <c r="BJ19" s="21"/>
      <c r="BK19" s="21"/>
      <c r="BL19" s="21"/>
      <c r="BM19" s="21"/>
      <c r="BN19" s="21"/>
      <c r="BO19" s="21"/>
      <c r="BP19" s="21"/>
      <c r="BQ19" s="21"/>
      <c r="BR19" s="21"/>
      <c r="BS19" s="21"/>
      <c r="BT19" s="21"/>
      <c r="BU19" s="21"/>
      <c r="BV19" s="21"/>
      <c r="BW19" s="21"/>
      <c r="BX19" s="21"/>
      <c r="BY19" s="21"/>
      <c r="BZ19" s="21"/>
      <c r="CA19" s="21"/>
      <c r="CB19" s="21"/>
      <c r="CC19" s="21"/>
      <c r="CD19" s="21"/>
      <c r="CE19" s="21"/>
      <c r="CF19" s="21"/>
      <c r="CG19" s="21"/>
      <c r="CH19" s="21"/>
      <c r="CJ19" t="s">
        <v>38</v>
      </c>
      <c r="CL19" s="8">
        <f>IFERROR(IF(TRIM(C19)="","",IF(ISNUMBER(C19),C19,DATE(2026,MATCH(LEFT(MID(TRIM(C19),FIND(" ",TRIM(C19))+1,9),3),Lists!$A$1:$A$12,0),VALUE(LEFT(TRIM(C19),FIND(" ",TRIM(C19))-1))))),"")</f>
        <v>46296</v>
      </c>
      <c r="CM19" s="8">
        <f>IFERROR(IF(TRIM(D19)="","",IF(ISNUMBER(D19),D19,DATE(2026,MATCH(LEFT(MID(TRIM(D19),FIND(" ",TRIM(D19))+1,9),3),Lists!$A$1:$A$12,0),VALUE(LEFT(TRIM(D19),FIND(" ",TRIM(D19))-1))))),"")</f>
        <v>46298</v>
      </c>
    </row>
    <row r="20" spans="1:91" ht="14.25" customHeight="1" x14ac:dyDescent="0.25">
      <c r="A20" s="16" t="s">
        <v>57</v>
      </c>
      <c r="B20" s="17"/>
      <c r="C20" s="18" t="s">
        <v>56</v>
      </c>
      <c r="D20" s="18" t="s">
        <v>58</v>
      </c>
      <c r="E20" s="19">
        <f>IF(OR(CL20="",CM20=""),"",CM20-CL20+1)</f>
        <v>5</v>
      </c>
      <c r="F20" s="20" t="s">
        <v>37</v>
      </c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1"/>
      <c r="AH20" s="21"/>
      <c r="AI20" s="21"/>
      <c r="AJ20" s="21"/>
      <c r="AK20" s="21"/>
      <c r="AL20" s="21"/>
      <c r="AM20" s="21"/>
      <c r="AN20" s="21"/>
      <c r="AO20" s="21"/>
      <c r="AP20" s="21"/>
      <c r="AQ20" s="21"/>
      <c r="AR20" s="21"/>
      <c r="AS20" s="21"/>
      <c r="AT20" s="21"/>
      <c r="AU20" s="21"/>
      <c r="AV20" s="21"/>
      <c r="AW20" s="21"/>
      <c r="AX20" s="21"/>
      <c r="AY20" s="21"/>
      <c r="AZ20" s="21"/>
      <c r="BA20" s="21"/>
      <c r="BB20" s="21"/>
      <c r="BC20" s="21"/>
      <c r="BD20" s="21"/>
      <c r="BE20" s="21"/>
      <c r="BF20" s="21"/>
      <c r="BG20" s="21"/>
      <c r="BH20" s="21"/>
      <c r="BI20" s="21"/>
      <c r="BJ20" s="21"/>
      <c r="BK20" s="21"/>
      <c r="BL20" s="21"/>
      <c r="BM20" s="21"/>
      <c r="BN20" s="21"/>
      <c r="BO20" s="21"/>
      <c r="BP20" s="21"/>
      <c r="BQ20" s="21"/>
      <c r="BR20" s="21"/>
      <c r="BS20" s="21"/>
      <c r="BT20" s="21"/>
      <c r="BU20" s="21"/>
      <c r="BV20" s="21"/>
      <c r="BW20" s="21"/>
      <c r="BX20" s="21"/>
      <c r="BY20" s="21"/>
      <c r="BZ20" s="21"/>
      <c r="CA20" s="21"/>
      <c r="CB20" s="21"/>
      <c r="CC20" s="21"/>
      <c r="CD20" s="21"/>
      <c r="CE20" s="21"/>
      <c r="CF20" s="21"/>
      <c r="CG20" s="21"/>
      <c r="CH20" s="21"/>
      <c r="CJ20" t="s">
        <v>38</v>
      </c>
      <c r="CL20" s="8">
        <f>IFERROR(IF(TRIM(C20)="","",IF(ISNUMBER(C20),C20,DATE(2026,MATCH(LEFT(MID(TRIM(C20),FIND(" ",TRIM(C20))+1,9),3),Lists!$A$1:$A$12,0),VALUE(LEFT(TRIM(C20),FIND(" ",TRIM(C20))-1))))),"")</f>
        <v>46298</v>
      </c>
      <c r="CM20" s="8">
        <f>IFERROR(IF(TRIM(D20)="","",IF(ISNUMBER(D20),D20,DATE(2026,MATCH(LEFT(MID(TRIM(D20),FIND(" ",TRIM(D20))+1,9),3),Lists!$A$1:$A$12,0),VALUE(LEFT(TRIM(D20),FIND(" ",TRIM(D20))-1))))),"")</f>
        <v>46302</v>
      </c>
    </row>
    <row r="21" spans="1:91" ht="14.25" customHeight="1" x14ac:dyDescent="0.25">
      <c r="A21" s="16" t="s">
        <v>59</v>
      </c>
      <c r="B21" s="17"/>
      <c r="C21" s="18" t="s">
        <v>60</v>
      </c>
      <c r="D21" s="18" t="s">
        <v>61</v>
      </c>
      <c r="E21" s="19">
        <f>IF(OR(CL21="",CM21=""),"",CM21-CL21+1)</f>
        <v>3</v>
      </c>
      <c r="F21" s="20" t="s">
        <v>62</v>
      </c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21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21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21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21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21"/>
      <c r="CC21" s="21"/>
      <c r="CD21" s="21"/>
      <c r="CE21" s="21"/>
      <c r="CF21" s="21"/>
      <c r="CG21" s="21"/>
      <c r="CH21" s="21"/>
      <c r="CJ21" t="s">
        <v>38</v>
      </c>
      <c r="CL21" s="8">
        <f>IFERROR(IF(TRIM(C21)="","",IF(ISNUMBER(C21),C21,DATE(2026,MATCH(LEFT(MID(TRIM(C21),FIND(" ",TRIM(C21))+1,9),3),Lists!$A$1:$A$12,0),VALUE(LEFT(TRIM(C21),FIND(" ",TRIM(C21))-1))))),"")</f>
        <v>46328</v>
      </c>
      <c r="CM21" s="8">
        <f>IFERROR(IF(TRIM(D21)="","",IF(ISNUMBER(D21),D21,DATE(2026,MATCH(LEFT(MID(TRIM(D21),FIND(" ",TRIM(D21))+1,9),3),Lists!$A$1:$A$12,0),VALUE(LEFT(TRIM(D21),FIND(" ",TRIM(D21))-1))))),"")</f>
        <v>46330</v>
      </c>
    </row>
    <row r="22" spans="1:91" ht="15" customHeight="1" x14ac:dyDescent="0.25">
      <c r="A22" s="13" t="s">
        <v>63</v>
      </c>
      <c r="B22" s="14" t="s">
        <v>64</v>
      </c>
      <c r="C22" s="14" t="str">
        <f>DAY(CL22)&amp;" "&amp;INDEX(Lists!$A$1:$A$12,MONTH(CL22))</f>
        <v>19 Sep</v>
      </c>
      <c r="D22" s="14" t="str">
        <f>DAY(CM22)&amp;" "&amp;INDEX(Lists!$A$1:$A$12,MONTH(CM22))</f>
        <v>7 Oct</v>
      </c>
      <c r="E22" s="14">
        <f>CM22-CL22+1</f>
        <v>19</v>
      </c>
      <c r="F22" s="14" t="str">
        <f>IF(COUNTIF(F23:F24,"Done")=2,"Done",IF(COUNTIF(F23:F24,"Not started")=2,"Not started","In progress"))</f>
        <v>Done</v>
      </c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  <c r="AO22" s="15"/>
      <c r="AP22" s="15"/>
      <c r="AQ22" s="15"/>
      <c r="AR22" s="15"/>
      <c r="AS22" s="15"/>
      <c r="AT22" s="15"/>
      <c r="AU22" s="15"/>
      <c r="AV22" s="15"/>
      <c r="AW22" s="15"/>
      <c r="AX22" s="15"/>
      <c r="AY22" s="15"/>
      <c r="AZ22" s="15"/>
      <c r="BA22" s="15"/>
      <c r="BB22" s="15"/>
      <c r="BC22" s="15"/>
      <c r="BD22" s="15"/>
      <c r="BE22" s="15"/>
      <c r="BF22" s="15"/>
      <c r="BG22" s="15"/>
      <c r="BH22" s="15"/>
      <c r="BI22" s="15"/>
      <c r="BJ22" s="15"/>
      <c r="BK22" s="15"/>
      <c r="BL22" s="15"/>
      <c r="BM22" s="15"/>
      <c r="BN22" s="15"/>
      <c r="BO22" s="15"/>
      <c r="BP22" s="15"/>
      <c r="BQ22" s="15"/>
      <c r="BR22" s="15"/>
      <c r="BS22" s="15"/>
      <c r="BT22" s="15"/>
      <c r="BU22" s="15"/>
      <c r="BV22" s="15"/>
      <c r="BW22" s="15"/>
      <c r="BX22" s="15"/>
      <c r="BY22" s="15"/>
      <c r="BZ22" s="15"/>
      <c r="CA22" s="15"/>
      <c r="CB22" s="15"/>
      <c r="CC22" s="15"/>
      <c r="CD22" s="15"/>
      <c r="CE22" s="15"/>
      <c r="CF22" s="15"/>
      <c r="CG22" s="15"/>
      <c r="CH22" s="15"/>
      <c r="CJ22" t="s">
        <v>33</v>
      </c>
      <c r="CL22" s="8">
        <f>MIN(CL23:CL24)</f>
        <v>46284</v>
      </c>
      <c r="CM22" s="8">
        <f>MAX(CM23:CM24)</f>
        <v>46302</v>
      </c>
    </row>
    <row r="23" spans="1:91" ht="14.25" customHeight="1" x14ac:dyDescent="0.25">
      <c r="A23" s="16" t="s">
        <v>65</v>
      </c>
      <c r="B23" s="17"/>
      <c r="C23" s="18" t="s">
        <v>53</v>
      </c>
      <c r="D23" s="18" t="s">
        <v>66</v>
      </c>
      <c r="E23" s="19">
        <f>IF(OR(CL23="",CM23=""),"",CM23-CL23+1)</f>
        <v>7</v>
      </c>
      <c r="F23" s="20" t="s">
        <v>37</v>
      </c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1"/>
      <c r="AH23" s="21"/>
      <c r="AI23" s="21"/>
      <c r="AJ23" s="21"/>
      <c r="AK23" s="21"/>
      <c r="AL23" s="21"/>
      <c r="AM23" s="21"/>
      <c r="AN23" s="21"/>
      <c r="AO23" s="21"/>
      <c r="AP23" s="21"/>
      <c r="AQ23" s="21"/>
      <c r="AR23" s="21"/>
      <c r="AS23" s="21"/>
      <c r="AT23" s="21"/>
      <c r="AU23" s="21"/>
      <c r="AV23" s="21"/>
      <c r="AW23" s="21"/>
      <c r="AX23" s="21"/>
      <c r="AY23" s="21"/>
      <c r="AZ23" s="21"/>
      <c r="BA23" s="21"/>
      <c r="BB23" s="21"/>
      <c r="BC23" s="21"/>
      <c r="BD23" s="21"/>
      <c r="BE23" s="21"/>
      <c r="BF23" s="21"/>
      <c r="BG23" s="21"/>
      <c r="BH23" s="21"/>
      <c r="BI23" s="21"/>
      <c r="BJ23" s="21"/>
      <c r="BK23" s="21"/>
      <c r="BL23" s="21"/>
      <c r="BM23" s="21"/>
      <c r="BN23" s="21"/>
      <c r="BO23" s="21"/>
      <c r="BP23" s="21"/>
      <c r="BQ23" s="21"/>
      <c r="BR23" s="21"/>
      <c r="BS23" s="21"/>
      <c r="BT23" s="21"/>
      <c r="BU23" s="21"/>
      <c r="BV23" s="21"/>
      <c r="BW23" s="21"/>
      <c r="BX23" s="21"/>
      <c r="BY23" s="21"/>
      <c r="BZ23" s="21"/>
      <c r="CA23" s="21"/>
      <c r="CB23" s="21"/>
      <c r="CC23" s="21"/>
      <c r="CD23" s="21"/>
      <c r="CE23" s="21"/>
      <c r="CF23" s="21"/>
      <c r="CG23" s="21"/>
      <c r="CH23" s="21"/>
      <c r="CJ23" t="s">
        <v>38</v>
      </c>
      <c r="CL23" s="8">
        <f>IFERROR(IF(TRIM(C23)="","",IF(ISNUMBER(C23),C23,DATE(2026,MATCH(LEFT(MID(TRIM(C23),FIND(" ",TRIM(C23))+1,9),3),Lists!$A$1:$A$12,0),VALUE(LEFT(TRIM(C23),FIND(" ",TRIM(C23))-1))))),"")</f>
        <v>46284</v>
      </c>
      <c r="CM23" s="8">
        <f>IFERROR(IF(TRIM(D23)="","",IF(ISNUMBER(D23),D23,DATE(2026,MATCH(LEFT(MID(TRIM(D23),FIND(" ",TRIM(D23))+1,9),3),Lists!$A$1:$A$12,0),VALUE(LEFT(TRIM(D23),FIND(" ",TRIM(D23))-1))))),"")</f>
        <v>46290</v>
      </c>
    </row>
    <row r="24" spans="1:91" ht="14.25" customHeight="1" x14ac:dyDescent="0.25">
      <c r="A24" s="16" t="s">
        <v>67</v>
      </c>
      <c r="B24" s="17"/>
      <c r="C24" s="18" t="s">
        <v>68</v>
      </c>
      <c r="D24" s="18" t="s">
        <v>58</v>
      </c>
      <c r="E24" s="19">
        <f>IF(OR(CL24="",CM24=""),"",CM24-CL24+1)</f>
        <v>3</v>
      </c>
      <c r="F24" s="20" t="s">
        <v>37</v>
      </c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/>
      <c r="AT24" s="21"/>
      <c r="AU24" s="21"/>
      <c r="AV24" s="21"/>
      <c r="AW24" s="21"/>
      <c r="AX24" s="21"/>
      <c r="AY24" s="21"/>
      <c r="AZ24" s="21"/>
      <c r="BA24" s="21"/>
      <c r="BB24" s="21"/>
      <c r="BC24" s="21"/>
      <c r="BD24" s="21"/>
      <c r="BE24" s="21"/>
      <c r="BF24" s="21"/>
      <c r="BG24" s="21"/>
      <c r="BH24" s="21"/>
      <c r="BI24" s="21"/>
      <c r="BJ24" s="21"/>
      <c r="BK24" s="21"/>
      <c r="BL24" s="21"/>
      <c r="BM24" s="21"/>
      <c r="BN24" s="21"/>
      <c r="BO24" s="21"/>
      <c r="BP24" s="21"/>
      <c r="BQ24" s="21"/>
      <c r="BR24" s="21"/>
      <c r="BS24" s="21"/>
      <c r="BT24" s="21"/>
      <c r="BU24" s="21"/>
      <c r="BV24" s="21"/>
      <c r="BW24" s="21"/>
      <c r="BX24" s="21"/>
      <c r="BY24" s="21"/>
      <c r="BZ24" s="21"/>
      <c r="CA24" s="21"/>
      <c r="CB24" s="21"/>
      <c r="CC24" s="21"/>
      <c r="CD24" s="21"/>
      <c r="CE24" s="21"/>
      <c r="CF24" s="21"/>
      <c r="CG24" s="21"/>
      <c r="CH24" s="21"/>
      <c r="CJ24" t="s">
        <v>38</v>
      </c>
      <c r="CL24" s="8">
        <f>IFERROR(IF(TRIM(C24)="","",IF(ISNUMBER(C24),C24,DATE(2026,MATCH(LEFT(MID(TRIM(C24),FIND(" ",TRIM(C24))+1,9),3),Lists!$A$1:$A$12,0),VALUE(LEFT(TRIM(C24),FIND(" ",TRIM(C24))-1))))),"")</f>
        <v>46300</v>
      </c>
      <c r="CM24" s="8">
        <f>IFERROR(IF(TRIM(D24)="","",IF(ISNUMBER(D24),D24,DATE(2026,MATCH(LEFT(MID(TRIM(D24),FIND(" ",TRIM(D24))+1,9),3),Lists!$A$1:$A$12,0),VALUE(LEFT(TRIM(D24),FIND(" ",TRIM(D24))-1))))),"")</f>
        <v>46302</v>
      </c>
    </row>
    <row r="25" spans="1:91" ht="15" customHeight="1" x14ac:dyDescent="0.25">
      <c r="A25" s="13" t="s">
        <v>69</v>
      </c>
      <c r="B25" s="14" t="s">
        <v>70</v>
      </c>
      <c r="C25" s="14" t="str">
        <f>DAY(CL25)&amp;" "&amp;INDEX(Lists!$A$1:$A$12,MONTH(CL25))</f>
        <v>5 Oct</v>
      </c>
      <c r="D25" s="14" t="str">
        <f>DAY(CM25)&amp;" "&amp;INDEX(Lists!$A$1:$A$12,MONTH(CM25))</f>
        <v>8 Oct</v>
      </c>
      <c r="E25" s="14">
        <f>CM25-CL25+1</f>
        <v>4</v>
      </c>
      <c r="F25" s="14" t="str">
        <f>IF(COUNTIF(F26:F27,"Done")=2,"Done",IF(COUNTIF(F26:F27,"Not started")=2,"Not started","In progress"))</f>
        <v>Done</v>
      </c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AX25" s="15"/>
      <c r="AY25" s="15"/>
      <c r="AZ25" s="15"/>
      <c r="BA25" s="15"/>
      <c r="BB25" s="15"/>
      <c r="BC25" s="15"/>
      <c r="BD25" s="15"/>
      <c r="BE25" s="15"/>
      <c r="BF25" s="15"/>
      <c r="BG25" s="15"/>
      <c r="BH25" s="15"/>
      <c r="BI25" s="15"/>
      <c r="BJ25" s="15"/>
      <c r="BK25" s="15"/>
      <c r="BL25" s="15"/>
      <c r="BM25" s="15"/>
      <c r="BN25" s="15"/>
      <c r="BO25" s="15"/>
      <c r="BP25" s="15"/>
      <c r="BQ25" s="15"/>
      <c r="BR25" s="15"/>
      <c r="BS25" s="15"/>
      <c r="BT25" s="15"/>
      <c r="BU25" s="15"/>
      <c r="BV25" s="15"/>
      <c r="BW25" s="15"/>
      <c r="BX25" s="15"/>
      <c r="BY25" s="15"/>
      <c r="BZ25" s="15"/>
      <c r="CA25" s="15"/>
      <c r="CB25" s="15"/>
      <c r="CC25" s="15"/>
      <c r="CD25" s="15"/>
      <c r="CE25" s="15"/>
      <c r="CF25" s="15"/>
      <c r="CG25" s="15"/>
      <c r="CH25" s="15"/>
      <c r="CJ25" t="s">
        <v>33</v>
      </c>
      <c r="CL25" s="8">
        <f>MIN(CL26:CL27)</f>
        <v>46300</v>
      </c>
      <c r="CM25" s="8">
        <f>MAX(CM26:CM27)</f>
        <v>46303</v>
      </c>
    </row>
    <row r="26" spans="1:91" ht="14.25" customHeight="1" x14ac:dyDescent="0.25">
      <c r="A26" s="16" t="s">
        <v>71</v>
      </c>
      <c r="B26" s="17"/>
      <c r="C26" s="18" t="s">
        <v>68</v>
      </c>
      <c r="D26" s="18" t="s">
        <v>58</v>
      </c>
      <c r="E26" s="19">
        <f>IF(OR(CL26="",CM26=""),"",CM26-CL26+1)</f>
        <v>3</v>
      </c>
      <c r="F26" s="20" t="s">
        <v>37</v>
      </c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21"/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/>
      <c r="AT26" s="21"/>
      <c r="AU26" s="21"/>
      <c r="AV26" s="21"/>
      <c r="AW26" s="21"/>
      <c r="AX26" s="21"/>
      <c r="AY26" s="21"/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1"/>
      <c r="BR26" s="21"/>
      <c r="BS26" s="21"/>
      <c r="BT26" s="21"/>
      <c r="BU26" s="21"/>
      <c r="BV26" s="21"/>
      <c r="BW26" s="21"/>
      <c r="BX26" s="21"/>
      <c r="BY26" s="21"/>
      <c r="BZ26" s="21"/>
      <c r="CA26" s="21"/>
      <c r="CB26" s="21"/>
      <c r="CC26" s="21"/>
      <c r="CD26" s="21"/>
      <c r="CE26" s="21"/>
      <c r="CF26" s="21"/>
      <c r="CG26" s="21"/>
      <c r="CH26" s="21"/>
      <c r="CJ26" t="s">
        <v>38</v>
      </c>
      <c r="CL26" s="8">
        <f>IFERROR(IF(TRIM(C26)="","",IF(ISNUMBER(C26),C26,DATE(2026,MATCH(LEFT(MID(TRIM(C26),FIND(" ",TRIM(C26))+1,9),3),Lists!$A$1:$A$12,0),VALUE(LEFT(TRIM(C26),FIND(" ",TRIM(C26))-1))))),"")</f>
        <v>46300</v>
      </c>
      <c r="CM26" s="8">
        <f>IFERROR(IF(TRIM(D26)="","",IF(ISNUMBER(D26),D26,DATE(2026,MATCH(LEFT(MID(TRIM(D26),FIND(" ",TRIM(D26))+1,9),3),Lists!$A$1:$A$12,0),VALUE(LEFT(TRIM(D26),FIND(" ",TRIM(D26))-1))))),"")</f>
        <v>46302</v>
      </c>
    </row>
    <row r="27" spans="1:91" ht="14.25" customHeight="1" x14ac:dyDescent="0.25">
      <c r="A27" s="16" t="s">
        <v>72</v>
      </c>
      <c r="B27" s="17"/>
      <c r="C27" s="18" t="s">
        <v>58</v>
      </c>
      <c r="D27" s="18" t="s">
        <v>73</v>
      </c>
      <c r="E27" s="19">
        <f>IF(OR(CL27="",CM27=""),"",CM27-CL27+1)</f>
        <v>2</v>
      </c>
      <c r="F27" s="20" t="s">
        <v>37</v>
      </c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21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21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21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21"/>
      <c r="CC27" s="21"/>
      <c r="CD27" s="21"/>
      <c r="CE27" s="21"/>
      <c r="CF27" s="21"/>
      <c r="CG27" s="21"/>
      <c r="CH27" s="21"/>
      <c r="CJ27" t="s">
        <v>38</v>
      </c>
      <c r="CL27" s="8">
        <f>IFERROR(IF(TRIM(C27)="","",IF(ISNUMBER(C27),C27,DATE(2026,MATCH(LEFT(MID(TRIM(C27),FIND(" ",TRIM(C27))+1,9),3),Lists!$A$1:$A$12,0),VALUE(LEFT(TRIM(C27),FIND(" ",TRIM(C27))-1))))),"")</f>
        <v>46302</v>
      </c>
      <c r="CM27" s="8">
        <f>IFERROR(IF(TRIM(D27)="","",IF(ISNUMBER(D27),D27,DATE(2026,MATCH(LEFT(MID(TRIM(D27),FIND(" ",TRIM(D27))+1,9),3),Lists!$A$1:$A$12,0),VALUE(LEFT(TRIM(D27),FIND(" ",TRIM(D27))-1))))),"")</f>
        <v>46303</v>
      </c>
    </row>
    <row r="28" spans="1:91" ht="15" customHeight="1" x14ac:dyDescent="0.25">
      <c r="A28" s="13" t="s">
        <v>74</v>
      </c>
      <c r="B28" s="14" t="s">
        <v>75</v>
      </c>
      <c r="C28" s="14" t="str">
        <f>DAY(CL28)&amp;" "&amp;INDEX(Lists!$A$1:$A$12,MONTH(CL28))</f>
        <v>21 Sep</v>
      </c>
      <c r="D28" s="14" t="str">
        <f>DAY(CM28)&amp;" "&amp;INDEX(Lists!$A$1:$A$12,MONTH(CM28))</f>
        <v>27 Oct</v>
      </c>
      <c r="E28" s="14">
        <f>CM28-CL28+1</f>
        <v>37</v>
      </c>
      <c r="F28" s="14" t="str">
        <f>IF(COUNTIF(F29:F34,"Done")=6,"Done",IF(COUNTIF(F29:F34,"Not started")=6,"Not started","In progress"))</f>
        <v>Done</v>
      </c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/>
      <c r="AU28" s="15"/>
      <c r="AV28" s="15"/>
      <c r="AW28" s="15"/>
      <c r="AX28" s="15"/>
      <c r="AY28" s="15"/>
      <c r="AZ28" s="15"/>
      <c r="BA28" s="15"/>
      <c r="BB28" s="15"/>
      <c r="BC28" s="15"/>
      <c r="BD28" s="15"/>
      <c r="BE28" s="15"/>
      <c r="BF28" s="15"/>
      <c r="BG28" s="15"/>
      <c r="BH28" s="15"/>
      <c r="BI28" s="15"/>
      <c r="BJ28" s="15"/>
      <c r="BK28" s="15"/>
      <c r="BL28" s="15"/>
      <c r="BM28" s="15"/>
      <c r="BN28" s="15"/>
      <c r="BO28" s="15"/>
      <c r="BP28" s="15"/>
      <c r="BQ28" s="15"/>
      <c r="BR28" s="15"/>
      <c r="BS28" s="15"/>
      <c r="BT28" s="15"/>
      <c r="BU28" s="15"/>
      <c r="BV28" s="15"/>
      <c r="BW28" s="15"/>
      <c r="BX28" s="15"/>
      <c r="BY28" s="15"/>
      <c r="BZ28" s="15"/>
      <c r="CA28" s="15"/>
      <c r="CB28" s="15"/>
      <c r="CC28" s="15"/>
      <c r="CD28" s="15"/>
      <c r="CE28" s="15"/>
      <c r="CF28" s="15"/>
      <c r="CG28" s="15"/>
      <c r="CH28" s="15"/>
      <c r="CJ28" t="s">
        <v>33</v>
      </c>
      <c r="CL28" s="8">
        <f>MIN(CL29:CL34)</f>
        <v>46286</v>
      </c>
      <c r="CM28" s="8">
        <f>MAX(CM29:CM34)</f>
        <v>46322</v>
      </c>
    </row>
    <row r="29" spans="1:91" ht="14.25" customHeight="1" x14ac:dyDescent="0.25">
      <c r="A29" s="16" t="s">
        <v>76</v>
      </c>
      <c r="B29" s="17"/>
      <c r="C29" s="18" t="s">
        <v>77</v>
      </c>
      <c r="D29" s="18" t="s">
        <v>78</v>
      </c>
      <c r="E29" s="19">
        <f t="shared" ref="E29:E34" si="0">IF(OR(CL29="",CM29=""),"",CM29-CL29+1)</f>
        <v>6</v>
      </c>
      <c r="F29" s="20" t="s">
        <v>37</v>
      </c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  <c r="AC29" s="21"/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1"/>
      <c r="AT29" s="21"/>
      <c r="AU29" s="21"/>
      <c r="AV29" s="21"/>
      <c r="AW29" s="21"/>
      <c r="AX29" s="21"/>
      <c r="AY29" s="21"/>
      <c r="AZ29" s="21"/>
      <c r="BA29" s="21"/>
      <c r="BB29" s="21"/>
      <c r="BC29" s="21"/>
      <c r="BD29" s="21"/>
      <c r="BE29" s="21"/>
      <c r="BF29" s="21"/>
      <c r="BG29" s="21"/>
      <c r="BH29" s="21"/>
      <c r="BI29" s="21"/>
      <c r="BJ29" s="21"/>
      <c r="BK29" s="21"/>
      <c r="BL29" s="21"/>
      <c r="BM29" s="21"/>
      <c r="BN29" s="21"/>
      <c r="BO29" s="21"/>
      <c r="BP29" s="21"/>
      <c r="BQ29" s="21"/>
      <c r="BR29" s="21"/>
      <c r="BS29" s="21"/>
      <c r="BT29" s="21"/>
      <c r="BU29" s="21"/>
      <c r="BV29" s="21"/>
      <c r="BW29" s="21"/>
      <c r="BX29" s="21"/>
      <c r="BY29" s="21"/>
      <c r="BZ29" s="21"/>
      <c r="CA29" s="21"/>
      <c r="CB29" s="21"/>
      <c r="CC29" s="21"/>
      <c r="CD29" s="21"/>
      <c r="CE29" s="21"/>
      <c r="CF29" s="21"/>
      <c r="CG29" s="21"/>
      <c r="CH29" s="21"/>
      <c r="CJ29" t="s">
        <v>38</v>
      </c>
      <c r="CL29" s="8">
        <f>IFERROR(IF(TRIM(C29)="","",IF(ISNUMBER(C29),C29,DATE(2026,MATCH(LEFT(MID(TRIM(C29),FIND(" ",TRIM(C29))+1,9),3),Lists!$A$1:$A$12,0),VALUE(LEFT(TRIM(C29),FIND(" ",TRIM(C29))-1))))),"")</f>
        <v>46286</v>
      </c>
      <c r="CM29" s="8">
        <f>IFERROR(IF(TRIM(D29)="","",IF(ISNUMBER(D29),D29,DATE(2026,MATCH(LEFT(MID(TRIM(D29),FIND(" ",TRIM(D29))+1,9),3),Lists!$A$1:$A$12,0),VALUE(LEFT(TRIM(D29),FIND(" ",TRIM(D29))-1))))),"")</f>
        <v>46291</v>
      </c>
    </row>
    <row r="30" spans="1:91" ht="14.25" customHeight="1" x14ac:dyDescent="0.25">
      <c r="A30" s="16" t="s">
        <v>79</v>
      </c>
      <c r="B30" s="17"/>
      <c r="C30" s="18" t="s">
        <v>80</v>
      </c>
      <c r="D30" s="18" t="s">
        <v>73</v>
      </c>
      <c r="E30" s="19">
        <f t="shared" si="0"/>
        <v>3</v>
      </c>
      <c r="F30" s="20" t="s">
        <v>37</v>
      </c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21"/>
      <c r="AC30" s="21"/>
      <c r="AD30" s="21"/>
      <c r="AE30" s="21"/>
      <c r="AF30" s="21"/>
      <c r="AG30" s="21"/>
      <c r="AH30" s="21"/>
      <c r="AI30" s="21"/>
      <c r="AJ30" s="21"/>
      <c r="AK30" s="21"/>
      <c r="AL30" s="21"/>
      <c r="AM30" s="21"/>
      <c r="AN30" s="21"/>
      <c r="AO30" s="21"/>
      <c r="AP30" s="21"/>
      <c r="AQ30" s="21"/>
      <c r="AR30" s="21"/>
      <c r="AS30" s="21"/>
      <c r="AT30" s="21"/>
      <c r="AU30" s="21"/>
      <c r="AV30" s="21"/>
      <c r="AW30" s="21"/>
      <c r="AX30" s="21"/>
      <c r="AY30" s="21"/>
      <c r="AZ30" s="21"/>
      <c r="BA30" s="21"/>
      <c r="BB30" s="21"/>
      <c r="BC30" s="21"/>
      <c r="BD30" s="21"/>
      <c r="BE30" s="21"/>
      <c r="BF30" s="21"/>
      <c r="BG30" s="21"/>
      <c r="BH30" s="21"/>
      <c r="BI30" s="21"/>
      <c r="BJ30" s="21"/>
      <c r="BK30" s="21"/>
      <c r="BL30" s="21"/>
      <c r="BM30" s="21"/>
      <c r="BN30" s="21"/>
      <c r="BO30" s="21"/>
      <c r="BP30" s="21"/>
      <c r="BQ30" s="21"/>
      <c r="BR30" s="21"/>
      <c r="BS30" s="21"/>
      <c r="BT30" s="21"/>
      <c r="BU30" s="21"/>
      <c r="BV30" s="21"/>
      <c r="BW30" s="21"/>
      <c r="BX30" s="21"/>
      <c r="BY30" s="21"/>
      <c r="BZ30" s="21"/>
      <c r="CA30" s="21"/>
      <c r="CB30" s="21"/>
      <c r="CC30" s="21"/>
      <c r="CD30" s="21"/>
      <c r="CE30" s="21"/>
      <c r="CF30" s="21"/>
      <c r="CG30" s="21"/>
      <c r="CH30" s="21"/>
      <c r="CJ30" t="s">
        <v>38</v>
      </c>
      <c r="CL30" s="8">
        <f>IFERROR(IF(TRIM(C30)="","",IF(ISNUMBER(C30),C30,DATE(2026,MATCH(LEFT(MID(TRIM(C30),FIND(" ",TRIM(C30))+1,9),3),Lists!$A$1:$A$12,0),VALUE(LEFT(TRIM(C30),FIND(" ",TRIM(C30))-1))))),"")</f>
        <v>46301</v>
      </c>
      <c r="CM30" s="8">
        <f>IFERROR(IF(TRIM(D30)="","",IF(ISNUMBER(D30),D30,DATE(2026,MATCH(LEFT(MID(TRIM(D30),FIND(" ",TRIM(D30))+1,9),3),Lists!$A$1:$A$12,0),VALUE(LEFT(TRIM(D30),FIND(" ",TRIM(D30))-1))))),"")</f>
        <v>46303</v>
      </c>
    </row>
    <row r="31" spans="1:91" ht="14.25" customHeight="1" x14ac:dyDescent="0.25">
      <c r="A31" s="16" t="s">
        <v>81</v>
      </c>
      <c r="B31" s="17"/>
      <c r="C31" s="18" t="s">
        <v>73</v>
      </c>
      <c r="D31" s="18" t="s">
        <v>82</v>
      </c>
      <c r="E31" s="19">
        <f t="shared" si="0"/>
        <v>15</v>
      </c>
      <c r="F31" s="20" t="s">
        <v>37</v>
      </c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  <c r="AB31" s="21"/>
      <c r="AC31" s="21"/>
      <c r="AD31" s="21"/>
      <c r="AE31" s="21"/>
      <c r="AF31" s="21"/>
      <c r="AG31" s="21"/>
      <c r="AH31" s="21"/>
      <c r="AI31" s="21"/>
      <c r="AJ31" s="21"/>
      <c r="AK31" s="21"/>
      <c r="AL31" s="21"/>
      <c r="AM31" s="21"/>
      <c r="AN31" s="21"/>
      <c r="AO31" s="21"/>
      <c r="AP31" s="21"/>
      <c r="AQ31" s="21"/>
      <c r="AR31" s="21"/>
      <c r="AS31" s="21"/>
      <c r="AT31" s="21"/>
      <c r="AU31" s="21"/>
      <c r="AV31" s="21"/>
      <c r="AW31" s="21"/>
      <c r="AX31" s="21"/>
      <c r="AY31" s="21"/>
      <c r="AZ31" s="21"/>
      <c r="BA31" s="21"/>
      <c r="BB31" s="21"/>
      <c r="BC31" s="21"/>
      <c r="BD31" s="21"/>
      <c r="BE31" s="21"/>
      <c r="BF31" s="21"/>
      <c r="BG31" s="21"/>
      <c r="BH31" s="21"/>
      <c r="BI31" s="21"/>
      <c r="BJ31" s="21"/>
      <c r="BK31" s="21"/>
      <c r="BL31" s="21"/>
      <c r="BM31" s="21"/>
      <c r="BN31" s="21"/>
      <c r="BO31" s="21"/>
      <c r="BP31" s="21"/>
      <c r="BQ31" s="21"/>
      <c r="BR31" s="21"/>
      <c r="BS31" s="21"/>
      <c r="BT31" s="21"/>
      <c r="BU31" s="21"/>
      <c r="BV31" s="21"/>
      <c r="BW31" s="21"/>
      <c r="BX31" s="21"/>
      <c r="BY31" s="21"/>
      <c r="BZ31" s="21"/>
      <c r="CA31" s="21"/>
      <c r="CB31" s="21"/>
      <c r="CC31" s="21"/>
      <c r="CD31" s="21"/>
      <c r="CE31" s="21"/>
      <c r="CF31" s="21"/>
      <c r="CG31" s="21"/>
      <c r="CH31" s="21"/>
      <c r="CJ31" t="s">
        <v>38</v>
      </c>
      <c r="CL31" s="8">
        <f>IFERROR(IF(TRIM(C31)="","",IF(ISNUMBER(C31),C31,DATE(2026,MATCH(LEFT(MID(TRIM(C31),FIND(" ",TRIM(C31))+1,9),3),Lists!$A$1:$A$12,0),VALUE(LEFT(TRIM(C31),FIND(" ",TRIM(C31))-1))))),"")</f>
        <v>46303</v>
      </c>
      <c r="CM31" s="8">
        <f>IFERROR(IF(TRIM(D31)="","",IF(ISNUMBER(D31),D31,DATE(2026,MATCH(LEFT(MID(TRIM(D31),FIND(" ",TRIM(D31))+1,9),3),Lists!$A$1:$A$12,0),VALUE(LEFT(TRIM(D31),FIND(" ",TRIM(D31))-1))))),"")</f>
        <v>46317</v>
      </c>
    </row>
    <row r="32" spans="1:91" ht="14.25" customHeight="1" x14ac:dyDescent="0.25">
      <c r="A32" s="16" t="s">
        <v>83</v>
      </c>
      <c r="B32" s="17"/>
      <c r="C32" s="18" t="s">
        <v>84</v>
      </c>
      <c r="D32" s="18" t="s">
        <v>85</v>
      </c>
      <c r="E32" s="19">
        <f t="shared" si="0"/>
        <v>7</v>
      </c>
      <c r="F32" s="20" t="s">
        <v>37</v>
      </c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21"/>
      <c r="AD32" s="21"/>
      <c r="AE32" s="21"/>
      <c r="AF32" s="21"/>
      <c r="AG32" s="21"/>
      <c r="AH32" s="21"/>
      <c r="AI32" s="21"/>
      <c r="AJ32" s="21"/>
      <c r="AK32" s="21"/>
      <c r="AL32" s="21"/>
      <c r="AM32" s="21"/>
      <c r="AN32" s="21"/>
      <c r="AO32" s="21"/>
      <c r="AP32" s="21"/>
      <c r="AQ32" s="21"/>
      <c r="AR32" s="21"/>
      <c r="AS32" s="21"/>
      <c r="AT32" s="21"/>
      <c r="AU32" s="21"/>
      <c r="AV32" s="21"/>
      <c r="AW32" s="21"/>
      <c r="AX32" s="21"/>
      <c r="AY32" s="21"/>
      <c r="AZ32" s="21"/>
      <c r="BA32" s="21"/>
      <c r="BB32" s="21"/>
      <c r="BC32" s="21"/>
      <c r="BD32" s="21"/>
      <c r="BE32" s="21"/>
      <c r="BF32" s="21"/>
      <c r="BG32" s="21"/>
      <c r="BH32" s="21"/>
      <c r="BI32" s="21"/>
      <c r="BJ32" s="21"/>
      <c r="BK32" s="21"/>
      <c r="BL32" s="21"/>
      <c r="BM32" s="21"/>
      <c r="BN32" s="21"/>
      <c r="BO32" s="21"/>
      <c r="BP32" s="21"/>
      <c r="BQ32" s="21"/>
      <c r="BR32" s="21"/>
      <c r="BS32" s="21"/>
      <c r="BT32" s="21"/>
      <c r="BU32" s="21"/>
      <c r="BV32" s="21"/>
      <c r="BW32" s="21"/>
      <c r="BX32" s="21"/>
      <c r="BY32" s="21"/>
      <c r="BZ32" s="21"/>
      <c r="CA32" s="21"/>
      <c r="CB32" s="21"/>
      <c r="CC32" s="21"/>
      <c r="CD32" s="21"/>
      <c r="CE32" s="21"/>
      <c r="CF32" s="21"/>
      <c r="CG32" s="21"/>
      <c r="CH32" s="21"/>
      <c r="CJ32" t="s">
        <v>38</v>
      </c>
      <c r="CL32" s="8">
        <f>IFERROR(IF(TRIM(C32)="","",IF(ISNUMBER(C32),C32,DATE(2026,MATCH(LEFT(MID(TRIM(C32),FIND(" ",TRIM(C32))+1,9),3),Lists!$A$1:$A$12,0),VALUE(LEFT(TRIM(C32),FIND(" ",TRIM(C32))-1))))),"")</f>
        <v>46310</v>
      </c>
      <c r="CM32" s="8">
        <f>IFERROR(IF(TRIM(D32)="","",IF(ISNUMBER(D32),D32,DATE(2026,MATCH(LEFT(MID(TRIM(D32),FIND(" ",TRIM(D32))+1,9),3),Lists!$A$1:$A$12,0),VALUE(LEFT(TRIM(D32),FIND(" ",TRIM(D32))-1))))),"")</f>
        <v>46316</v>
      </c>
    </row>
    <row r="33" spans="1:91" ht="14.25" customHeight="1" x14ac:dyDescent="0.25">
      <c r="A33" s="16" t="s">
        <v>86</v>
      </c>
      <c r="B33" s="17"/>
      <c r="C33" s="18" t="s">
        <v>87</v>
      </c>
      <c r="D33" s="18" t="s">
        <v>82</v>
      </c>
      <c r="E33" s="19">
        <f t="shared" si="0"/>
        <v>3</v>
      </c>
      <c r="F33" s="20" t="s">
        <v>37</v>
      </c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  <c r="AB33" s="21"/>
      <c r="AC33" s="21"/>
      <c r="AD33" s="21"/>
      <c r="AE33" s="21"/>
      <c r="AF33" s="21"/>
      <c r="AG33" s="21"/>
      <c r="AH33" s="21"/>
      <c r="AI33" s="21"/>
      <c r="AJ33" s="21"/>
      <c r="AK33" s="21"/>
      <c r="AL33" s="21"/>
      <c r="AM33" s="21"/>
      <c r="AN33" s="21"/>
      <c r="AO33" s="21"/>
      <c r="AP33" s="21"/>
      <c r="AQ33" s="21"/>
      <c r="AR33" s="21"/>
      <c r="AS33" s="21"/>
      <c r="AT33" s="21"/>
      <c r="AU33" s="21"/>
      <c r="AV33" s="21"/>
      <c r="AW33" s="21"/>
      <c r="AX33" s="21"/>
      <c r="AY33" s="21"/>
      <c r="AZ33" s="21"/>
      <c r="BA33" s="21"/>
      <c r="BB33" s="21"/>
      <c r="BC33" s="21"/>
      <c r="BD33" s="21"/>
      <c r="BE33" s="21"/>
      <c r="BF33" s="21"/>
      <c r="BG33" s="21"/>
      <c r="BH33" s="21"/>
      <c r="BI33" s="21"/>
      <c r="BJ33" s="21"/>
      <c r="BK33" s="21"/>
      <c r="BL33" s="21"/>
      <c r="BM33" s="21"/>
      <c r="BN33" s="21"/>
      <c r="BO33" s="21"/>
      <c r="BP33" s="21"/>
      <c r="BQ33" s="21"/>
      <c r="BR33" s="21"/>
      <c r="BS33" s="21"/>
      <c r="BT33" s="21"/>
      <c r="BU33" s="21"/>
      <c r="BV33" s="21"/>
      <c r="BW33" s="21"/>
      <c r="BX33" s="21"/>
      <c r="BY33" s="21"/>
      <c r="BZ33" s="21"/>
      <c r="CA33" s="21"/>
      <c r="CB33" s="21"/>
      <c r="CC33" s="21"/>
      <c r="CD33" s="21"/>
      <c r="CE33" s="21"/>
      <c r="CF33" s="21"/>
      <c r="CG33" s="21"/>
      <c r="CH33" s="21"/>
      <c r="CJ33" t="s">
        <v>38</v>
      </c>
      <c r="CL33" s="8">
        <f>IFERROR(IF(TRIM(C33)="","",IF(ISNUMBER(C33),C33,DATE(2026,MATCH(LEFT(MID(TRIM(C33),FIND(" ",TRIM(C33))+1,9),3),Lists!$A$1:$A$12,0),VALUE(LEFT(TRIM(C33),FIND(" ",TRIM(C33))-1))))),"")</f>
        <v>46315</v>
      </c>
      <c r="CM33" s="8">
        <f>IFERROR(IF(TRIM(D33)="","",IF(ISNUMBER(D33),D33,DATE(2026,MATCH(LEFT(MID(TRIM(D33),FIND(" ",TRIM(D33))+1,9),3),Lists!$A$1:$A$12,0),VALUE(LEFT(TRIM(D33),FIND(" ",TRIM(D33))-1))))),"")</f>
        <v>46317</v>
      </c>
    </row>
    <row r="34" spans="1:91" ht="14.25" customHeight="1" x14ac:dyDescent="0.25">
      <c r="A34" s="16" t="s">
        <v>88</v>
      </c>
      <c r="B34" s="17"/>
      <c r="C34" s="18" t="s">
        <v>89</v>
      </c>
      <c r="D34" s="18" t="s">
        <v>90</v>
      </c>
      <c r="E34" s="19">
        <f t="shared" si="0"/>
        <v>2</v>
      </c>
      <c r="F34" s="20" t="s">
        <v>37</v>
      </c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  <c r="AA34" s="21"/>
      <c r="AB34" s="21"/>
      <c r="AC34" s="21"/>
      <c r="AD34" s="21"/>
      <c r="AE34" s="21"/>
      <c r="AF34" s="21"/>
      <c r="AG34" s="21"/>
      <c r="AH34" s="21"/>
      <c r="AI34" s="21"/>
      <c r="AJ34" s="21"/>
      <c r="AK34" s="21"/>
      <c r="AL34" s="21"/>
      <c r="AM34" s="21"/>
      <c r="AN34" s="21"/>
      <c r="AO34" s="21"/>
      <c r="AP34" s="21"/>
      <c r="AQ34" s="21"/>
      <c r="AR34" s="21"/>
      <c r="AS34" s="21"/>
      <c r="AT34" s="21"/>
      <c r="AU34" s="21"/>
      <c r="AV34" s="21"/>
      <c r="AW34" s="21"/>
      <c r="AX34" s="21"/>
      <c r="AY34" s="21"/>
      <c r="AZ34" s="21"/>
      <c r="BA34" s="21"/>
      <c r="BB34" s="21"/>
      <c r="BC34" s="21"/>
      <c r="BD34" s="21"/>
      <c r="BE34" s="21"/>
      <c r="BF34" s="21"/>
      <c r="BG34" s="21"/>
      <c r="BH34" s="21"/>
      <c r="BI34" s="21"/>
      <c r="BJ34" s="21"/>
      <c r="BK34" s="21"/>
      <c r="BL34" s="21"/>
      <c r="BM34" s="21"/>
      <c r="BN34" s="21"/>
      <c r="BO34" s="21"/>
      <c r="BP34" s="21"/>
      <c r="BQ34" s="21"/>
      <c r="BR34" s="21"/>
      <c r="BS34" s="21"/>
      <c r="BT34" s="21"/>
      <c r="BU34" s="21"/>
      <c r="BV34" s="21"/>
      <c r="BW34" s="21"/>
      <c r="BX34" s="21"/>
      <c r="BY34" s="21"/>
      <c r="BZ34" s="21"/>
      <c r="CA34" s="21"/>
      <c r="CB34" s="21"/>
      <c r="CC34" s="21"/>
      <c r="CD34" s="21"/>
      <c r="CE34" s="21"/>
      <c r="CF34" s="21"/>
      <c r="CG34" s="21"/>
      <c r="CH34" s="21"/>
      <c r="CJ34" t="s">
        <v>38</v>
      </c>
      <c r="CL34" s="8">
        <f>IFERROR(IF(TRIM(C34)="","",IF(ISNUMBER(C34),C34,DATE(2026,MATCH(LEFT(MID(TRIM(C34),FIND(" ",TRIM(C34))+1,9),3),Lists!$A$1:$A$12,0),VALUE(LEFT(TRIM(C34),FIND(" ",TRIM(C34))-1))))),"")</f>
        <v>46321</v>
      </c>
      <c r="CM34" s="8">
        <f>IFERROR(IF(TRIM(D34)="","",IF(ISNUMBER(D34),D34,DATE(2026,MATCH(LEFT(MID(TRIM(D34),FIND(" ",TRIM(D34))+1,9),3),Lists!$A$1:$A$12,0),VALUE(LEFT(TRIM(D34),FIND(" ",TRIM(D34))-1))))),"")</f>
        <v>46322</v>
      </c>
    </row>
    <row r="35" spans="1:91" ht="15" customHeight="1" x14ac:dyDescent="0.25">
      <c r="A35" s="13" t="s">
        <v>91</v>
      </c>
      <c r="B35" s="14" t="s">
        <v>92</v>
      </c>
      <c r="C35" s="14" t="str">
        <f>DAY(CL35)&amp;" "&amp;INDEX(Lists!$A$1:$A$12,MONTH(CL35))</f>
        <v>20 Oct</v>
      </c>
      <c r="D35" s="14" t="str">
        <f>DAY(CM35)&amp;" "&amp;INDEX(Lists!$A$1:$A$12,MONTH(CM35))</f>
        <v>11 Nov</v>
      </c>
      <c r="E35" s="14">
        <f>CM35-CL35+1</f>
        <v>23</v>
      </c>
      <c r="F35" s="14" t="str">
        <f>IF(COUNTIF(F36:F37,"Done")=2,"Done",IF(COUNTIF(F36:F37,"Not started")=2,"Not started","In progress"))</f>
        <v>In progress</v>
      </c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  <c r="AQ35" s="15"/>
      <c r="AR35" s="15"/>
      <c r="AS35" s="15"/>
      <c r="AT35" s="15"/>
      <c r="AU35" s="15"/>
      <c r="AV35" s="15"/>
      <c r="AW35" s="15"/>
      <c r="AX35" s="15"/>
      <c r="AY35" s="15"/>
      <c r="AZ35" s="15"/>
      <c r="BA35" s="15"/>
      <c r="BB35" s="15"/>
      <c r="BC35" s="15"/>
      <c r="BD35" s="15"/>
      <c r="BE35" s="15"/>
      <c r="BF35" s="15"/>
      <c r="BG35" s="15"/>
      <c r="BH35" s="15"/>
      <c r="BI35" s="15"/>
      <c r="BJ35" s="15"/>
      <c r="BK35" s="15"/>
      <c r="BL35" s="15"/>
      <c r="BM35" s="15"/>
      <c r="BN35" s="15"/>
      <c r="BO35" s="15"/>
      <c r="BP35" s="15"/>
      <c r="BQ35" s="15"/>
      <c r="BR35" s="15"/>
      <c r="BS35" s="15"/>
      <c r="BT35" s="15"/>
      <c r="BU35" s="15"/>
      <c r="BV35" s="15"/>
      <c r="BW35" s="15"/>
      <c r="BX35" s="15"/>
      <c r="BY35" s="15"/>
      <c r="BZ35" s="15"/>
      <c r="CA35" s="15"/>
      <c r="CB35" s="15"/>
      <c r="CC35" s="15"/>
      <c r="CD35" s="15"/>
      <c r="CE35" s="15"/>
      <c r="CF35" s="15"/>
      <c r="CG35" s="15"/>
      <c r="CH35" s="15"/>
      <c r="CJ35" t="s">
        <v>33</v>
      </c>
      <c r="CL35" s="8">
        <f>MIN(CL36:CL37)</f>
        <v>46315</v>
      </c>
      <c r="CM35" s="8">
        <f>MAX(CM36:CM37)</f>
        <v>46337</v>
      </c>
    </row>
    <row r="36" spans="1:91" ht="14.25" customHeight="1" x14ac:dyDescent="0.25">
      <c r="A36" s="16" t="s">
        <v>93</v>
      </c>
      <c r="B36" s="17"/>
      <c r="C36" s="18" t="s">
        <v>87</v>
      </c>
      <c r="D36" s="18" t="s">
        <v>90</v>
      </c>
      <c r="E36" s="19">
        <f>IF(OR(CL36="",CM36=""),"",CM36-CL36+1)</f>
        <v>8</v>
      </c>
      <c r="F36" s="20" t="s">
        <v>37</v>
      </c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21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21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21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21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21"/>
      <c r="CC36" s="21"/>
      <c r="CD36" s="21"/>
      <c r="CE36" s="21"/>
      <c r="CF36" s="21"/>
      <c r="CG36" s="21"/>
      <c r="CH36" s="21"/>
      <c r="CJ36" t="s">
        <v>38</v>
      </c>
      <c r="CL36" s="8">
        <f>IFERROR(IF(TRIM(C36)="","",IF(ISNUMBER(C36),C36,DATE(2026,MATCH(LEFT(MID(TRIM(C36),FIND(" ",TRIM(C36))+1,9),3),Lists!$A$1:$A$12,0),VALUE(LEFT(TRIM(C36),FIND(" ",TRIM(C36))-1))))),"")</f>
        <v>46315</v>
      </c>
      <c r="CM36" s="8">
        <f>IFERROR(IF(TRIM(D36)="","",IF(ISNUMBER(D36),D36,DATE(2026,MATCH(LEFT(MID(TRIM(D36),FIND(" ",TRIM(D36))+1,9),3),Lists!$A$1:$A$12,0),VALUE(LEFT(TRIM(D36),FIND(" ",TRIM(D36))-1))))),"")</f>
        <v>46322</v>
      </c>
    </row>
    <row r="37" spans="1:91" ht="14.25" customHeight="1" x14ac:dyDescent="0.25">
      <c r="A37" s="16" t="s">
        <v>94</v>
      </c>
      <c r="B37" s="17"/>
      <c r="C37" s="18" t="s">
        <v>95</v>
      </c>
      <c r="D37" s="18" t="s">
        <v>96</v>
      </c>
      <c r="E37" s="19">
        <f>IF(OR(CL37="",CM37=""),"",CM37-CL37+1)</f>
        <v>3</v>
      </c>
      <c r="F37" s="20" t="s">
        <v>62</v>
      </c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  <c r="AB37" s="21"/>
      <c r="AC37" s="21"/>
      <c r="AD37" s="21"/>
      <c r="AE37" s="21"/>
      <c r="AF37" s="21"/>
      <c r="AG37" s="21"/>
      <c r="AH37" s="21"/>
      <c r="AI37" s="21"/>
      <c r="AJ37" s="21"/>
      <c r="AK37" s="21"/>
      <c r="AL37" s="21"/>
      <c r="AM37" s="21"/>
      <c r="AN37" s="21"/>
      <c r="AO37" s="21"/>
      <c r="AP37" s="21"/>
      <c r="AQ37" s="21"/>
      <c r="AR37" s="21"/>
      <c r="AS37" s="21"/>
      <c r="AT37" s="21"/>
      <c r="AU37" s="21"/>
      <c r="AV37" s="21"/>
      <c r="AW37" s="21"/>
      <c r="AX37" s="21"/>
      <c r="AY37" s="21"/>
      <c r="AZ37" s="21"/>
      <c r="BA37" s="21"/>
      <c r="BB37" s="21"/>
      <c r="BC37" s="21"/>
      <c r="BD37" s="21"/>
      <c r="BE37" s="21"/>
      <c r="BF37" s="21"/>
      <c r="BG37" s="21"/>
      <c r="BH37" s="21"/>
      <c r="BI37" s="21"/>
      <c r="BJ37" s="21"/>
      <c r="BK37" s="21"/>
      <c r="BL37" s="21"/>
      <c r="BM37" s="21"/>
      <c r="BN37" s="21"/>
      <c r="BO37" s="21"/>
      <c r="BP37" s="21"/>
      <c r="BQ37" s="21"/>
      <c r="BR37" s="21"/>
      <c r="BS37" s="21"/>
      <c r="BT37" s="21"/>
      <c r="BU37" s="21"/>
      <c r="BV37" s="21"/>
      <c r="BW37" s="21"/>
      <c r="BX37" s="21"/>
      <c r="BY37" s="21"/>
      <c r="BZ37" s="21"/>
      <c r="CA37" s="21"/>
      <c r="CB37" s="21"/>
      <c r="CC37" s="21"/>
      <c r="CD37" s="21"/>
      <c r="CE37" s="21"/>
      <c r="CF37" s="21"/>
      <c r="CG37" s="21"/>
      <c r="CH37" s="21"/>
      <c r="CJ37" t="s">
        <v>38</v>
      </c>
      <c r="CL37" s="8">
        <f>IFERROR(IF(TRIM(C37)="","",IF(ISNUMBER(C37),C37,DATE(2026,MATCH(LEFT(MID(TRIM(C37),FIND(" ",TRIM(C37))+1,9),3),Lists!$A$1:$A$12,0),VALUE(LEFT(TRIM(C37),FIND(" ",TRIM(C37))-1))))),"")</f>
        <v>46335</v>
      </c>
      <c r="CM37" s="8">
        <f>IFERROR(IF(TRIM(D37)="","",IF(ISNUMBER(D37),D37,DATE(2026,MATCH(LEFT(MID(TRIM(D37),FIND(" ",TRIM(D37))+1,9),3),Lists!$A$1:$A$12,0),VALUE(LEFT(TRIM(D37),FIND(" ",TRIM(D37))-1))))),"")</f>
        <v>46337</v>
      </c>
    </row>
    <row r="38" spans="1:91" ht="15" customHeight="1" x14ac:dyDescent="0.25">
      <c r="A38" s="13" t="s">
        <v>97</v>
      </c>
      <c r="B38" s="14" t="s">
        <v>98</v>
      </c>
      <c r="C38" s="14" t="str">
        <f>DAY(CL38)&amp;" "&amp;INDEX(Lists!$A$1:$A$12,MONTH(CL38))</f>
        <v>8 Oct</v>
      </c>
      <c r="D38" s="14" t="str">
        <f>DAY(CM38)&amp;" "&amp;INDEX(Lists!$A$1:$A$12,MONTH(CM38))</f>
        <v>12 Nov</v>
      </c>
      <c r="E38" s="14">
        <f>CM38-CL38+1</f>
        <v>36</v>
      </c>
      <c r="F38" s="14" t="str">
        <f>IF(COUNTIF(F39:F41,"Done")=3,"Done",IF(COUNTIF(F39:F41,"Not started")=3,"Not started","In progress"))</f>
        <v>In progress</v>
      </c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5"/>
      <c r="AQ38" s="15"/>
      <c r="AR38" s="15"/>
      <c r="AS38" s="15"/>
      <c r="AT38" s="15"/>
      <c r="AU38" s="15"/>
      <c r="AV38" s="15"/>
      <c r="AW38" s="15"/>
      <c r="AX38" s="15"/>
      <c r="AY38" s="15"/>
      <c r="AZ38" s="15"/>
      <c r="BA38" s="15"/>
      <c r="BB38" s="15"/>
      <c r="BC38" s="15"/>
      <c r="BD38" s="15"/>
      <c r="BE38" s="15"/>
      <c r="BF38" s="15"/>
      <c r="BG38" s="15"/>
      <c r="BH38" s="15"/>
      <c r="BI38" s="15"/>
      <c r="BJ38" s="15"/>
      <c r="BK38" s="15"/>
      <c r="BL38" s="15"/>
      <c r="BM38" s="15"/>
      <c r="BN38" s="15"/>
      <c r="BO38" s="15"/>
      <c r="BP38" s="15"/>
      <c r="BQ38" s="15"/>
      <c r="BR38" s="15"/>
      <c r="BS38" s="15"/>
      <c r="BT38" s="15"/>
      <c r="BU38" s="15"/>
      <c r="BV38" s="15"/>
      <c r="BW38" s="15"/>
      <c r="BX38" s="15"/>
      <c r="BY38" s="15"/>
      <c r="BZ38" s="15"/>
      <c r="CA38" s="15"/>
      <c r="CB38" s="15"/>
      <c r="CC38" s="15"/>
      <c r="CD38" s="15"/>
      <c r="CE38" s="15"/>
      <c r="CF38" s="15"/>
      <c r="CG38" s="15"/>
      <c r="CH38" s="15"/>
      <c r="CJ38" t="s">
        <v>33</v>
      </c>
      <c r="CL38" s="8">
        <f>MIN(CL39:CL41)</f>
        <v>46303</v>
      </c>
      <c r="CM38" s="8">
        <f>MAX(CM39:CM41)</f>
        <v>46338</v>
      </c>
    </row>
    <row r="39" spans="1:91" ht="14.25" customHeight="1" x14ac:dyDescent="0.25">
      <c r="A39" s="16" t="s">
        <v>99</v>
      </c>
      <c r="B39" s="17"/>
      <c r="C39" s="18" t="s">
        <v>73</v>
      </c>
      <c r="D39" s="18" t="s">
        <v>90</v>
      </c>
      <c r="E39" s="19">
        <f>IF(OR(CL39="",CM39=""),"",CM39-CL39+1)</f>
        <v>20</v>
      </c>
      <c r="F39" s="20" t="s">
        <v>37</v>
      </c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  <c r="AB39" s="21"/>
      <c r="AC39" s="21"/>
      <c r="AD39" s="21"/>
      <c r="AE39" s="21"/>
      <c r="AF39" s="21"/>
      <c r="AG39" s="21"/>
      <c r="AH39" s="21"/>
      <c r="AI39" s="21"/>
      <c r="AJ39" s="21"/>
      <c r="AK39" s="21"/>
      <c r="AL39" s="21"/>
      <c r="AM39" s="21"/>
      <c r="AN39" s="21"/>
      <c r="AO39" s="21"/>
      <c r="AP39" s="21"/>
      <c r="AQ39" s="21"/>
      <c r="AR39" s="21"/>
      <c r="AS39" s="21"/>
      <c r="AT39" s="21"/>
      <c r="AU39" s="21"/>
      <c r="AV39" s="21"/>
      <c r="AW39" s="21"/>
      <c r="AX39" s="21"/>
      <c r="AY39" s="21"/>
      <c r="AZ39" s="21"/>
      <c r="BA39" s="21"/>
      <c r="BB39" s="21"/>
      <c r="BC39" s="21"/>
      <c r="BD39" s="21"/>
      <c r="BE39" s="21"/>
      <c r="BF39" s="21"/>
      <c r="BG39" s="21"/>
      <c r="BH39" s="21"/>
      <c r="BI39" s="21"/>
      <c r="BJ39" s="21"/>
      <c r="BK39" s="21"/>
      <c r="BL39" s="21"/>
      <c r="BM39" s="21"/>
      <c r="BN39" s="21"/>
      <c r="BO39" s="21"/>
      <c r="BP39" s="21"/>
      <c r="BQ39" s="21"/>
      <c r="BR39" s="21"/>
      <c r="BS39" s="21"/>
      <c r="BT39" s="21"/>
      <c r="BU39" s="21"/>
      <c r="BV39" s="21"/>
      <c r="BW39" s="21"/>
      <c r="BX39" s="21"/>
      <c r="BY39" s="21"/>
      <c r="BZ39" s="21"/>
      <c r="CA39" s="21"/>
      <c r="CB39" s="21"/>
      <c r="CC39" s="21"/>
      <c r="CD39" s="21"/>
      <c r="CE39" s="21"/>
      <c r="CF39" s="21"/>
      <c r="CG39" s="21"/>
      <c r="CH39" s="21"/>
      <c r="CJ39" t="s">
        <v>38</v>
      </c>
      <c r="CL39" s="8">
        <f>IFERROR(IF(TRIM(C39)="","",IF(ISNUMBER(C39),C39,DATE(2026,MATCH(LEFT(MID(TRIM(C39),FIND(" ",TRIM(C39))+1,9),3),Lists!$A$1:$A$12,0),VALUE(LEFT(TRIM(C39),FIND(" ",TRIM(C39))-1))))),"")</f>
        <v>46303</v>
      </c>
      <c r="CM39" s="8">
        <f>IFERROR(IF(TRIM(D39)="","",IF(ISNUMBER(D39),D39,DATE(2026,MATCH(LEFT(MID(TRIM(D39),FIND(" ",TRIM(D39))+1,9),3),Lists!$A$1:$A$12,0),VALUE(LEFT(TRIM(D39),FIND(" ",TRIM(D39))-1))))),"")</f>
        <v>46322</v>
      </c>
    </row>
    <row r="40" spans="1:91" ht="14.25" customHeight="1" x14ac:dyDescent="0.25">
      <c r="A40" s="16" t="s">
        <v>100</v>
      </c>
      <c r="B40" s="17"/>
      <c r="C40" s="18" t="s">
        <v>101</v>
      </c>
      <c r="D40" s="18" t="s">
        <v>102</v>
      </c>
      <c r="E40" s="19">
        <f>IF(OR(CL40="",CM40=""),"",CM40-CL40+1)</f>
        <v>3</v>
      </c>
      <c r="F40" s="20" t="s">
        <v>62</v>
      </c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21"/>
      <c r="AT40" s="21"/>
      <c r="AU40" s="21"/>
      <c r="AV40" s="21"/>
      <c r="AW40" s="21"/>
      <c r="AX40" s="21"/>
      <c r="AY40" s="21"/>
      <c r="AZ40" s="21"/>
      <c r="BA40" s="21"/>
      <c r="BB40" s="21"/>
      <c r="BC40" s="21"/>
      <c r="BD40" s="21"/>
      <c r="BE40" s="21"/>
      <c r="BF40" s="21"/>
      <c r="BG40" s="21"/>
      <c r="BH40" s="21"/>
      <c r="BI40" s="21"/>
      <c r="BJ40" s="21"/>
      <c r="BK40" s="21"/>
      <c r="BL40" s="21"/>
      <c r="BM40" s="21"/>
      <c r="BN40" s="21"/>
      <c r="BO40" s="21"/>
      <c r="BP40" s="21"/>
      <c r="BQ40" s="21"/>
      <c r="BR40" s="21"/>
      <c r="BS40" s="21"/>
      <c r="BT40" s="21"/>
      <c r="BU40" s="21"/>
      <c r="BV40" s="21"/>
      <c r="BW40" s="21"/>
      <c r="BX40" s="21"/>
      <c r="BY40" s="21"/>
      <c r="BZ40" s="21"/>
      <c r="CA40" s="21"/>
      <c r="CB40" s="21"/>
      <c r="CC40" s="21"/>
      <c r="CD40" s="21"/>
      <c r="CE40" s="21"/>
      <c r="CF40" s="21"/>
      <c r="CG40" s="21"/>
      <c r="CH40" s="21"/>
      <c r="CJ40" t="s">
        <v>38</v>
      </c>
      <c r="CL40" s="8">
        <f>IFERROR(IF(TRIM(C40)="","",IF(ISNUMBER(C40),C40,DATE(2026,MATCH(LEFT(MID(TRIM(C40),FIND(" ",TRIM(C40))+1,9),3),Lists!$A$1:$A$12,0),VALUE(LEFT(TRIM(C40),FIND(" ",TRIM(C40))-1))))),"")</f>
        <v>46336</v>
      </c>
      <c r="CM40" s="8">
        <f>IFERROR(IF(TRIM(D40)="","",IF(ISNUMBER(D40),D40,DATE(2026,MATCH(LEFT(MID(TRIM(D40),FIND(" ",TRIM(D40))+1,9),3),Lists!$A$1:$A$12,0),VALUE(LEFT(TRIM(D40),FIND(" ",TRIM(D40))-1))))),"")</f>
        <v>46338</v>
      </c>
    </row>
    <row r="41" spans="1:91" ht="14.25" customHeight="1" x14ac:dyDescent="0.25">
      <c r="A41" s="16" t="s">
        <v>103</v>
      </c>
      <c r="B41" s="17"/>
      <c r="C41" s="18" t="s">
        <v>90</v>
      </c>
      <c r="D41" s="18" t="s">
        <v>104</v>
      </c>
      <c r="E41" s="19">
        <f>IF(OR(CL41="",CM41=""),"",CM41-CL41+1)</f>
        <v>11</v>
      </c>
      <c r="F41" s="20" t="s">
        <v>105</v>
      </c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21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21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21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21"/>
      <c r="CC41" s="21"/>
      <c r="CD41" s="21"/>
      <c r="CE41" s="21"/>
      <c r="CF41" s="21"/>
      <c r="CG41" s="21"/>
      <c r="CH41" s="21"/>
      <c r="CJ41" t="s">
        <v>38</v>
      </c>
      <c r="CL41" s="8">
        <f>IFERROR(IF(TRIM(C41)="","",IF(ISNUMBER(C41),C41,DATE(2026,MATCH(LEFT(MID(TRIM(C41),FIND(" ",TRIM(C41))+1,9),3),Lists!$A$1:$A$12,0),VALUE(LEFT(TRIM(C41),FIND(" ",TRIM(C41))-1))))),"")</f>
        <v>46322</v>
      </c>
      <c r="CM41" s="8">
        <f>IFERROR(IF(TRIM(D41)="","",IF(ISNUMBER(D41),D41,DATE(2026,MATCH(LEFT(MID(TRIM(D41),FIND(" ",TRIM(D41))+1,9),3),Lists!$A$1:$A$12,0),VALUE(LEFT(TRIM(D41),FIND(" ",TRIM(D41))-1))))),"")</f>
        <v>46332</v>
      </c>
    </row>
    <row r="42" spans="1:91" ht="15" customHeight="1" x14ac:dyDescent="0.25">
      <c r="A42" s="13" t="s">
        <v>106</v>
      </c>
      <c r="B42" s="14" t="s">
        <v>107</v>
      </c>
      <c r="C42" s="14" t="str">
        <f>DAY(CL42)&amp;" "&amp;INDEX(Lists!$A$1:$A$12,MONTH(CL42))</f>
        <v>21 Sep</v>
      </c>
      <c r="D42" s="14" t="str">
        <f>DAY(CM42)&amp;" "&amp;INDEX(Lists!$A$1:$A$12,MONTH(CM42))</f>
        <v>6 Nov</v>
      </c>
      <c r="E42" s="14">
        <f>CM42-CL42+1</f>
        <v>47</v>
      </c>
      <c r="F42" s="14" t="str">
        <f>IF(COUNTIF(F43:F47,"Done")=5,"Done",IF(COUNTIF(F43:F47,"Not started")=5,"Not started","In progress"))</f>
        <v>In progress</v>
      </c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  <c r="AJ42" s="15"/>
      <c r="AK42" s="15"/>
      <c r="AL42" s="15"/>
      <c r="AM42" s="15"/>
      <c r="AN42" s="15"/>
      <c r="AO42" s="15"/>
      <c r="AP42" s="15"/>
      <c r="AQ42" s="15"/>
      <c r="AR42" s="15"/>
      <c r="AS42" s="15"/>
      <c r="AT42" s="15"/>
      <c r="AU42" s="15"/>
      <c r="AV42" s="15"/>
      <c r="AW42" s="15"/>
      <c r="AX42" s="15"/>
      <c r="AY42" s="15"/>
      <c r="AZ42" s="15"/>
      <c r="BA42" s="15"/>
      <c r="BB42" s="15"/>
      <c r="BC42" s="15"/>
      <c r="BD42" s="15"/>
      <c r="BE42" s="15"/>
      <c r="BF42" s="15"/>
      <c r="BG42" s="15"/>
      <c r="BH42" s="15"/>
      <c r="BI42" s="15"/>
      <c r="BJ42" s="15"/>
      <c r="BK42" s="15"/>
      <c r="BL42" s="15"/>
      <c r="BM42" s="15"/>
      <c r="BN42" s="15"/>
      <c r="BO42" s="15"/>
      <c r="BP42" s="15"/>
      <c r="BQ42" s="15"/>
      <c r="BR42" s="15"/>
      <c r="BS42" s="15"/>
      <c r="BT42" s="15"/>
      <c r="BU42" s="15"/>
      <c r="BV42" s="15"/>
      <c r="BW42" s="15"/>
      <c r="BX42" s="15"/>
      <c r="BY42" s="15"/>
      <c r="BZ42" s="15"/>
      <c r="CA42" s="15"/>
      <c r="CB42" s="15"/>
      <c r="CC42" s="15"/>
      <c r="CD42" s="15"/>
      <c r="CE42" s="15"/>
      <c r="CF42" s="15"/>
      <c r="CG42" s="15"/>
      <c r="CH42" s="15"/>
      <c r="CJ42" t="s">
        <v>33</v>
      </c>
      <c r="CL42" s="8">
        <f>MIN(CL43:CL47)</f>
        <v>46286</v>
      </c>
      <c r="CM42" s="8">
        <f>MAX(CM43:CM47)</f>
        <v>46332</v>
      </c>
    </row>
    <row r="43" spans="1:91" ht="14.25" customHeight="1" x14ac:dyDescent="0.25">
      <c r="A43" s="16" t="s">
        <v>108</v>
      </c>
      <c r="B43" s="17"/>
      <c r="C43" s="18" t="s">
        <v>77</v>
      </c>
      <c r="D43" s="18" t="s">
        <v>90</v>
      </c>
      <c r="E43" s="19">
        <f>IF(OR(CL43="",CM43=""),"",CM43-CL43+1)</f>
        <v>37</v>
      </c>
      <c r="F43" s="20" t="s">
        <v>37</v>
      </c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21"/>
      <c r="AT43" s="21"/>
      <c r="AU43" s="21"/>
      <c r="AV43" s="21"/>
      <c r="AW43" s="21"/>
      <c r="AX43" s="21"/>
      <c r="AY43" s="21"/>
      <c r="AZ43" s="21"/>
      <c r="BA43" s="21"/>
      <c r="BB43" s="21"/>
      <c r="BC43" s="21"/>
      <c r="BD43" s="21"/>
      <c r="BE43" s="21"/>
      <c r="BF43" s="21"/>
      <c r="BG43" s="21"/>
      <c r="BH43" s="21"/>
      <c r="BI43" s="21"/>
      <c r="BJ43" s="21"/>
      <c r="BK43" s="21"/>
      <c r="BL43" s="21"/>
      <c r="BM43" s="21"/>
      <c r="BN43" s="21"/>
      <c r="BO43" s="21"/>
      <c r="BP43" s="21"/>
      <c r="BQ43" s="21"/>
      <c r="BR43" s="21"/>
      <c r="BS43" s="21"/>
      <c r="BT43" s="21"/>
      <c r="BU43" s="21"/>
      <c r="BV43" s="21"/>
      <c r="BW43" s="21"/>
      <c r="BX43" s="21"/>
      <c r="BY43" s="21"/>
      <c r="BZ43" s="21"/>
      <c r="CA43" s="21"/>
      <c r="CB43" s="21"/>
      <c r="CC43" s="21"/>
      <c r="CD43" s="21"/>
      <c r="CE43" s="21"/>
      <c r="CF43" s="21"/>
      <c r="CG43" s="21"/>
      <c r="CH43" s="21"/>
      <c r="CJ43" t="s">
        <v>38</v>
      </c>
      <c r="CL43" s="8">
        <f>IFERROR(IF(TRIM(C43)="","",IF(ISNUMBER(C43),C43,DATE(2026,MATCH(LEFT(MID(TRIM(C43),FIND(" ",TRIM(C43))+1,9),3),Lists!$A$1:$A$12,0),VALUE(LEFT(TRIM(C43),FIND(" ",TRIM(C43))-1))))),"")</f>
        <v>46286</v>
      </c>
      <c r="CM43" s="8">
        <f>IFERROR(IF(TRIM(D43)="","",IF(ISNUMBER(D43),D43,DATE(2026,MATCH(LEFT(MID(TRIM(D43),FIND(" ",TRIM(D43))+1,9),3),Lists!$A$1:$A$12,0),VALUE(LEFT(TRIM(D43),FIND(" ",TRIM(D43))-1))))),"")</f>
        <v>46322</v>
      </c>
    </row>
    <row r="44" spans="1:91" ht="14.25" customHeight="1" x14ac:dyDescent="0.25">
      <c r="A44" s="16" t="s">
        <v>109</v>
      </c>
      <c r="B44" s="17"/>
      <c r="C44" s="18" t="s">
        <v>84</v>
      </c>
      <c r="D44" s="18" t="s">
        <v>82</v>
      </c>
      <c r="E44" s="19">
        <f>IF(OR(CL44="",CM44=""),"",CM44-CL44+1)</f>
        <v>8</v>
      </c>
      <c r="F44" s="20" t="s">
        <v>37</v>
      </c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21"/>
      <c r="AT44" s="21"/>
      <c r="AU44" s="21"/>
      <c r="AV44" s="21"/>
      <c r="AW44" s="21"/>
      <c r="AX44" s="21"/>
      <c r="AY44" s="21"/>
      <c r="AZ44" s="21"/>
      <c r="BA44" s="21"/>
      <c r="BB44" s="21"/>
      <c r="BC44" s="21"/>
      <c r="BD44" s="21"/>
      <c r="BE44" s="21"/>
      <c r="BF44" s="21"/>
      <c r="BG44" s="21"/>
      <c r="BH44" s="21"/>
      <c r="BI44" s="21"/>
      <c r="BJ44" s="21"/>
      <c r="BK44" s="21"/>
      <c r="BL44" s="21"/>
      <c r="BM44" s="21"/>
      <c r="BN44" s="21"/>
      <c r="BO44" s="21"/>
      <c r="BP44" s="21"/>
      <c r="BQ44" s="21"/>
      <c r="BR44" s="21"/>
      <c r="BS44" s="21"/>
      <c r="BT44" s="21"/>
      <c r="BU44" s="21"/>
      <c r="BV44" s="21"/>
      <c r="BW44" s="21"/>
      <c r="BX44" s="21"/>
      <c r="BY44" s="21"/>
      <c r="BZ44" s="21"/>
      <c r="CA44" s="21"/>
      <c r="CB44" s="21"/>
      <c r="CC44" s="21"/>
      <c r="CD44" s="21"/>
      <c r="CE44" s="21"/>
      <c r="CF44" s="21"/>
      <c r="CG44" s="21"/>
      <c r="CH44" s="21"/>
      <c r="CJ44" t="s">
        <v>38</v>
      </c>
      <c r="CL44" s="8">
        <f>IFERROR(IF(TRIM(C44)="","",IF(ISNUMBER(C44),C44,DATE(2026,MATCH(LEFT(MID(TRIM(C44),FIND(" ",TRIM(C44))+1,9),3),Lists!$A$1:$A$12,0),VALUE(LEFT(TRIM(C44),FIND(" ",TRIM(C44))-1))))),"")</f>
        <v>46310</v>
      </c>
      <c r="CM44" s="8">
        <f>IFERROR(IF(TRIM(D44)="","",IF(ISNUMBER(D44),D44,DATE(2026,MATCH(LEFT(MID(TRIM(D44),FIND(" ",TRIM(D44))+1,9),3),Lists!$A$1:$A$12,0),VALUE(LEFT(TRIM(D44),FIND(" ",TRIM(D44))-1))))),"")</f>
        <v>46317</v>
      </c>
    </row>
    <row r="45" spans="1:91" ht="14.25" customHeight="1" x14ac:dyDescent="0.25">
      <c r="A45" s="16" t="s">
        <v>110</v>
      </c>
      <c r="B45" s="17"/>
      <c r="C45" s="18" t="s">
        <v>84</v>
      </c>
      <c r="D45" s="18" t="s">
        <v>90</v>
      </c>
      <c r="E45" s="19">
        <f>IF(OR(CL45="",CM45=""),"",CM45-CL45+1)</f>
        <v>13</v>
      </c>
      <c r="F45" s="20" t="s">
        <v>37</v>
      </c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21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21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21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21"/>
      <c r="CC45" s="21"/>
      <c r="CD45" s="21"/>
      <c r="CE45" s="21"/>
      <c r="CF45" s="21"/>
      <c r="CG45" s="21"/>
      <c r="CH45" s="21"/>
      <c r="CJ45" t="s">
        <v>38</v>
      </c>
      <c r="CL45" s="8">
        <f>IFERROR(IF(TRIM(C45)="","",IF(ISNUMBER(C45),C45,DATE(2026,MATCH(LEFT(MID(TRIM(C45),FIND(" ",TRIM(C45))+1,9),3),Lists!$A$1:$A$12,0),VALUE(LEFT(TRIM(C45),FIND(" ",TRIM(C45))-1))))),"")</f>
        <v>46310</v>
      </c>
      <c r="CM45" s="8">
        <f>IFERROR(IF(TRIM(D45)="","",IF(ISNUMBER(D45),D45,DATE(2026,MATCH(LEFT(MID(TRIM(D45),FIND(" ",TRIM(D45))+1,9),3),Lists!$A$1:$A$12,0),VALUE(LEFT(TRIM(D45),FIND(" ",TRIM(D45))-1))))),"")</f>
        <v>46322</v>
      </c>
    </row>
    <row r="46" spans="1:91" ht="14.25" customHeight="1" x14ac:dyDescent="0.25">
      <c r="A46" s="16" t="s">
        <v>111</v>
      </c>
      <c r="B46" s="17"/>
      <c r="C46" s="18" t="s">
        <v>112</v>
      </c>
      <c r="D46" s="18" t="s">
        <v>82</v>
      </c>
      <c r="E46" s="19">
        <f>IF(OR(CL46="",CM46=""),"",CM46-CL46+1)</f>
        <v>4</v>
      </c>
      <c r="F46" s="20" t="s">
        <v>37</v>
      </c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21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21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21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21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21"/>
      <c r="CC46" s="21"/>
      <c r="CD46" s="21"/>
      <c r="CE46" s="21"/>
      <c r="CF46" s="21"/>
      <c r="CG46" s="21"/>
      <c r="CH46" s="21"/>
      <c r="CJ46" t="s">
        <v>38</v>
      </c>
      <c r="CL46" s="8">
        <f>IFERROR(IF(TRIM(C46)="","",IF(ISNUMBER(C46),C46,DATE(2026,MATCH(LEFT(MID(TRIM(C46),FIND(" ",TRIM(C46))+1,9),3),Lists!$A$1:$A$12,0),VALUE(LEFT(TRIM(C46),FIND(" ",TRIM(C46))-1))))),"")</f>
        <v>46314</v>
      </c>
      <c r="CM46" s="8">
        <f>IFERROR(IF(TRIM(D46)="","",IF(ISNUMBER(D46),D46,DATE(2026,MATCH(LEFT(MID(TRIM(D46),FIND(" ",TRIM(D46))+1,9),3),Lists!$A$1:$A$12,0),VALUE(LEFT(TRIM(D46),FIND(" ",TRIM(D46))-1))))),"")</f>
        <v>46317</v>
      </c>
    </row>
    <row r="47" spans="1:91" ht="14.25" customHeight="1" x14ac:dyDescent="0.25">
      <c r="A47" s="16" t="s">
        <v>113</v>
      </c>
      <c r="B47" s="17"/>
      <c r="C47" s="18" t="s">
        <v>61</v>
      </c>
      <c r="D47" s="18" t="s">
        <v>104</v>
      </c>
      <c r="E47" s="19">
        <f>IF(OR(CL47="",CM47=""),"",CM47-CL47+1)</f>
        <v>3</v>
      </c>
      <c r="F47" s="20" t="s">
        <v>62</v>
      </c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  <c r="AH47" s="21"/>
      <c r="AI47" s="21"/>
      <c r="AJ47" s="21"/>
      <c r="AK47" s="21"/>
      <c r="AL47" s="21"/>
      <c r="AM47" s="21"/>
      <c r="AN47" s="21"/>
      <c r="AO47" s="21"/>
      <c r="AP47" s="21"/>
      <c r="AQ47" s="21"/>
      <c r="AR47" s="21"/>
      <c r="AS47" s="21"/>
      <c r="AT47" s="21"/>
      <c r="AU47" s="21"/>
      <c r="AV47" s="21"/>
      <c r="AW47" s="21"/>
      <c r="AX47" s="21"/>
      <c r="AY47" s="21"/>
      <c r="AZ47" s="21"/>
      <c r="BA47" s="21"/>
      <c r="BB47" s="21"/>
      <c r="BC47" s="21"/>
      <c r="BD47" s="21"/>
      <c r="BE47" s="21"/>
      <c r="BF47" s="21"/>
      <c r="BG47" s="21"/>
      <c r="BH47" s="21"/>
      <c r="BI47" s="21"/>
      <c r="BJ47" s="21"/>
      <c r="BK47" s="21"/>
      <c r="BL47" s="21"/>
      <c r="BM47" s="21"/>
      <c r="BN47" s="21"/>
      <c r="BO47" s="21"/>
      <c r="BP47" s="21"/>
      <c r="BQ47" s="21"/>
      <c r="BR47" s="21"/>
      <c r="BS47" s="21"/>
      <c r="BT47" s="21"/>
      <c r="BU47" s="21"/>
      <c r="BV47" s="21"/>
      <c r="BW47" s="21"/>
      <c r="BX47" s="21"/>
      <c r="BY47" s="21"/>
      <c r="BZ47" s="21"/>
      <c r="CA47" s="21"/>
      <c r="CB47" s="21"/>
      <c r="CC47" s="21"/>
      <c r="CD47" s="21"/>
      <c r="CE47" s="21"/>
      <c r="CF47" s="21"/>
      <c r="CG47" s="21"/>
      <c r="CH47" s="21"/>
      <c r="CJ47" t="s">
        <v>38</v>
      </c>
      <c r="CL47" s="8">
        <f>IFERROR(IF(TRIM(C47)="","",IF(ISNUMBER(C47),C47,DATE(2026,MATCH(LEFT(MID(TRIM(C47),FIND(" ",TRIM(C47))+1,9),3),Lists!$A$1:$A$12,0),VALUE(LEFT(TRIM(C47),FIND(" ",TRIM(C47))-1))))),"")</f>
        <v>46330</v>
      </c>
      <c r="CM47" s="8">
        <f>IFERROR(IF(TRIM(D47)="","",IF(ISNUMBER(D47),D47,DATE(2026,MATCH(LEFT(MID(TRIM(D47),FIND(" ",TRIM(D47))+1,9),3),Lists!$A$1:$A$12,0),VALUE(LEFT(TRIM(D47),FIND(" ",TRIM(D47))-1))))),"")</f>
        <v>46332</v>
      </c>
    </row>
    <row r="48" spans="1:91" ht="15" customHeight="1" x14ac:dyDescent="0.25">
      <c r="A48" s="13" t="s">
        <v>114</v>
      </c>
      <c r="B48" s="14" t="s">
        <v>115</v>
      </c>
      <c r="C48" s="14" t="str">
        <f>DAY(CL48)&amp;" "&amp;INDEX(Lists!$A$1:$A$12,MONTH(CL48))</f>
        <v>2 Oct</v>
      </c>
      <c r="D48" s="14" t="str">
        <f>DAY(CM48)&amp;" "&amp;INDEX(Lists!$A$1:$A$12,MONTH(CM48))</f>
        <v>13 Nov</v>
      </c>
      <c r="E48" s="14">
        <f>CM48-CL48+1</f>
        <v>43</v>
      </c>
      <c r="F48" s="14" t="str">
        <f>IF(COUNTIF(F49:F52,"Done")=4,"Done",IF(COUNTIF(F49:F52,"Not started")=4,"Not started","In progress"))</f>
        <v>In progress</v>
      </c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/>
      <c r="AM48" s="15"/>
      <c r="AN48" s="15"/>
      <c r="AO48" s="15"/>
      <c r="AP48" s="15"/>
      <c r="AQ48" s="15"/>
      <c r="AR48" s="15"/>
      <c r="AS48" s="15"/>
      <c r="AT48" s="15"/>
      <c r="AU48" s="15"/>
      <c r="AV48" s="15"/>
      <c r="AW48" s="15"/>
      <c r="AX48" s="15"/>
      <c r="AY48" s="15"/>
      <c r="AZ48" s="15"/>
      <c r="BA48" s="15"/>
      <c r="BB48" s="15"/>
      <c r="BC48" s="15"/>
      <c r="BD48" s="15"/>
      <c r="BE48" s="15"/>
      <c r="BF48" s="15"/>
      <c r="BG48" s="15"/>
      <c r="BH48" s="15"/>
      <c r="BI48" s="15"/>
      <c r="BJ48" s="15"/>
      <c r="BK48" s="15"/>
      <c r="BL48" s="15"/>
      <c r="BM48" s="15"/>
      <c r="BN48" s="15"/>
      <c r="BO48" s="15"/>
      <c r="BP48" s="15"/>
      <c r="BQ48" s="15"/>
      <c r="BR48" s="15"/>
      <c r="BS48" s="15"/>
      <c r="BT48" s="15"/>
      <c r="BU48" s="15"/>
      <c r="BV48" s="15"/>
      <c r="BW48" s="15"/>
      <c r="BX48" s="15"/>
      <c r="BY48" s="15"/>
      <c r="BZ48" s="15"/>
      <c r="CA48" s="15"/>
      <c r="CB48" s="15"/>
      <c r="CC48" s="15"/>
      <c r="CD48" s="15"/>
      <c r="CE48" s="15"/>
      <c r="CF48" s="15"/>
      <c r="CG48" s="15"/>
      <c r="CH48" s="15"/>
      <c r="CJ48" t="s">
        <v>33</v>
      </c>
      <c r="CL48" s="8">
        <f>MIN(CL49:CL52)</f>
        <v>46297</v>
      </c>
      <c r="CM48" s="8">
        <f>MAX(CM49:CM52)</f>
        <v>46339</v>
      </c>
    </row>
    <row r="49" spans="1:91" ht="14.25" customHeight="1" x14ac:dyDescent="0.25">
      <c r="A49" s="16" t="s">
        <v>116</v>
      </c>
      <c r="B49" s="17"/>
      <c r="C49" s="18" t="s">
        <v>43</v>
      </c>
      <c r="D49" s="18" t="s">
        <v>104</v>
      </c>
      <c r="E49" s="19">
        <f>IF(OR(CL49="",CM49=""),"",CM49-CL49+1)</f>
        <v>36</v>
      </c>
      <c r="F49" s="20" t="s">
        <v>105</v>
      </c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  <c r="AB49" s="21"/>
      <c r="AC49" s="21"/>
      <c r="AD49" s="21"/>
      <c r="AE49" s="21"/>
      <c r="AF49" s="21"/>
      <c r="AG49" s="21"/>
      <c r="AH49" s="21"/>
      <c r="AI49" s="21"/>
      <c r="AJ49" s="21"/>
      <c r="AK49" s="21"/>
      <c r="AL49" s="21"/>
      <c r="AM49" s="21"/>
      <c r="AN49" s="21"/>
      <c r="AO49" s="21"/>
      <c r="AP49" s="21"/>
      <c r="AQ49" s="21"/>
      <c r="AR49" s="21"/>
      <c r="AS49" s="21"/>
      <c r="AT49" s="21"/>
      <c r="AU49" s="21"/>
      <c r="AV49" s="21"/>
      <c r="AW49" s="21"/>
      <c r="AX49" s="21"/>
      <c r="AY49" s="21"/>
      <c r="AZ49" s="21"/>
      <c r="BA49" s="21"/>
      <c r="BB49" s="21"/>
      <c r="BC49" s="21"/>
      <c r="BD49" s="21"/>
      <c r="BE49" s="21"/>
      <c r="BF49" s="21"/>
      <c r="BG49" s="21"/>
      <c r="BH49" s="21"/>
      <c r="BI49" s="21"/>
      <c r="BJ49" s="21"/>
      <c r="BK49" s="21"/>
      <c r="BL49" s="21"/>
      <c r="BM49" s="21"/>
      <c r="BN49" s="21"/>
      <c r="BO49" s="21"/>
      <c r="BP49" s="21"/>
      <c r="BQ49" s="21"/>
      <c r="BR49" s="21"/>
      <c r="BS49" s="21"/>
      <c r="BT49" s="21"/>
      <c r="BU49" s="21"/>
      <c r="BV49" s="21"/>
      <c r="BW49" s="21"/>
      <c r="BX49" s="21"/>
      <c r="BY49" s="21"/>
      <c r="BZ49" s="21"/>
      <c r="CA49" s="21"/>
      <c r="CB49" s="21"/>
      <c r="CC49" s="21"/>
      <c r="CD49" s="21"/>
      <c r="CE49" s="21"/>
      <c r="CF49" s="21"/>
      <c r="CG49" s="21"/>
      <c r="CH49" s="21"/>
      <c r="CJ49" t="s">
        <v>38</v>
      </c>
      <c r="CL49" s="8">
        <f>IFERROR(IF(TRIM(C49)="","",IF(ISNUMBER(C49),C49,DATE(2026,MATCH(LEFT(MID(TRIM(C49),FIND(" ",TRIM(C49))+1,9),3),Lists!$A$1:$A$12,0),VALUE(LEFT(TRIM(C49),FIND(" ",TRIM(C49))-1))))),"")</f>
        <v>46297</v>
      </c>
      <c r="CM49" s="8">
        <f>IFERROR(IF(TRIM(D49)="","",IF(ISNUMBER(D49),D49,DATE(2026,MATCH(LEFT(MID(TRIM(D49),FIND(" ",TRIM(D49))+1,9),3),Lists!$A$1:$A$12,0),VALUE(LEFT(TRIM(D49),FIND(" ",TRIM(D49))-1))))),"")</f>
        <v>46332</v>
      </c>
    </row>
    <row r="50" spans="1:91" ht="14.25" customHeight="1" x14ac:dyDescent="0.25">
      <c r="A50" s="16" t="s">
        <v>117</v>
      </c>
      <c r="B50" s="17"/>
      <c r="C50" s="18" t="s">
        <v>60</v>
      </c>
      <c r="D50" s="18" t="s">
        <v>118</v>
      </c>
      <c r="E50" s="19">
        <f>IF(OR(CL50="",CM50=""),"",CM50-CL50+1)</f>
        <v>7</v>
      </c>
      <c r="F50" s="20" t="s">
        <v>62</v>
      </c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21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21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21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21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21"/>
      <c r="CC50" s="21"/>
      <c r="CD50" s="21"/>
      <c r="CE50" s="21"/>
      <c r="CF50" s="21"/>
      <c r="CG50" s="21"/>
      <c r="CH50" s="21"/>
      <c r="CJ50" t="s">
        <v>38</v>
      </c>
      <c r="CL50" s="8">
        <f>IFERROR(IF(TRIM(C50)="","",IF(ISNUMBER(C50),C50,DATE(2026,MATCH(LEFT(MID(TRIM(C50),FIND(" ",TRIM(C50))+1,9),3),Lists!$A$1:$A$12,0),VALUE(LEFT(TRIM(C50),FIND(" ",TRIM(C50))-1))))),"")</f>
        <v>46328</v>
      </c>
      <c r="CM50" s="8">
        <f>IFERROR(IF(TRIM(D50)="","",IF(ISNUMBER(D50),D50,DATE(2026,MATCH(LEFT(MID(TRIM(D50),FIND(" ",TRIM(D50))+1,9),3),Lists!$A$1:$A$12,0),VALUE(LEFT(TRIM(D50),FIND(" ",TRIM(D50))-1))))),"")</f>
        <v>46334</v>
      </c>
    </row>
    <row r="51" spans="1:91" ht="14.25" customHeight="1" x14ac:dyDescent="0.25">
      <c r="A51" s="16" t="s">
        <v>119</v>
      </c>
      <c r="B51" s="17"/>
      <c r="C51" s="18" t="s">
        <v>120</v>
      </c>
      <c r="D51" s="18" t="s">
        <v>95</v>
      </c>
      <c r="E51" s="19">
        <f>IF(OR(CL51="",CM51=""),"",CM51-CL51+1)</f>
        <v>3</v>
      </c>
      <c r="F51" s="20" t="s">
        <v>62</v>
      </c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21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21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21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21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21"/>
      <c r="CC51" s="21"/>
      <c r="CD51" s="21"/>
      <c r="CE51" s="21"/>
      <c r="CF51" s="21"/>
      <c r="CG51" s="21"/>
      <c r="CH51" s="21"/>
      <c r="CJ51" t="s">
        <v>38</v>
      </c>
      <c r="CL51" s="8">
        <f>IFERROR(IF(TRIM(C51)="","",IF(ISNUMBER(C51),C51,DATE(2026,MATCH(LEFT(MID(TRIM(C51),FIND(" ",TRIM(C51))+1,9),3),Lists!$A$1:$A$12,0),VALUE(LEFT(TRIM(C51),FIND(" ",TRIM(C51))-1))))),"")</f>
        <v>46333</v>
      </c>
      <c r="CM51" s="8">
        <f>IFERROR(IF(TRIM(D51)="","",IF(ISNUMBER(D51),D51,DATE(2026,MATCH(LEFT(MID(TRIM(D51),FIND(" ",TRIM(D51))+1,9),3),Lists!$A$1:$A$12,0),VALUE(LEFT(TRIM(D51),FIND(" ",TRIM(D51))-1))))),"")</f>
        <v>46335</v>
      </c>
    </row>
    <row r="52" spans="1:91" ht="14.25" customHeight="1" x14ac:dyDescent="0.25">
      <c r="A52" s="16" t="s">
        <v>121</v>
      </c>
      <c r="B52" s="17"/>
      <c r="C52" s="18" t="s">
        <v>101</v>
      </c>
      <c r="D52" s="18" t="s">
        <v>122</v>
      </c>
      <c r="E52" s="19">
        <f>IF(OR(CL52="",CM52=""),"",CM52-CL52+1)</f>
        <v>4</v>
      </c>
      <c r="F52" s="20" t="s">
        <v>62</v>
      </c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21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21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21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21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21"/>
      <c r="CC52" s="21"/>
      <c r="CD52" s="21"/>
      <c r="CE52" s="21"/>
      <c r="CF52" s="21"/>
      <c r="CG52" s="21"/>
      <c r="CH52" s="21"/>
      <c r="CJ52" t="s">
        <v>38</v>
      </c>
      <c r="CL52" s="8">
        <f>IFERROR(IF(TRIM(C52)="","",IF(ISNUMBER(C52),C52,DATE(2026,MATCH(LEFT(MID(TRIM(C52),FIND(" ",TRIM(C52))+1,9),3),Lists!$A$1:$A$12,0),VALUE(LEFT(TRIM(C52),FIND(" ",TRIM(C52))-1))))),"")</f>
        <v>46336</v>
      </c>
      <c r="CM52" s="8">
        <f>IFERROR(IF(TRIM(D52)="","",IF(ISNUMBER(D52),D52,DATE(2026,MATCH(LEFT(MID(TRIM(D52),FIND(" ",TRIM(D52))+1,9),3),Lists!$A$1:$A$12,0),VALUE(LEFT(TRIM(D52),FIND(" ",TRIM(D52))-1))))),"")</f>
        <v>46339</v>
      </c>
    </row>
    <row r="53" spans="1:91" ht="15" customHeight="1" x14ac:dyDescent="0.25">
      <c r="A53" s="13" t="s">
        <v>123</v>
      </c>
      <c r="B53" s="14" t="s">
        <v>124</v>
      </c>
      <c r="C53" s="14" t="str">
        <f>DAY(CL53)&amp;" "&amp;INDEX(Lists!$A$1:$A$12,MONTH(CL53))</f>
        <v>21 Oct</v>
      </c>
      <c r="D53" s="14" t="str">
        <f>DAY(CM53)&amp;" "&amp;INDEX(Lists!$A$1:$A$12,MONTH(CM53))</f>
        <v>15 Nov</v>
      </c>
      <c r="E53" s="14">
        <f>CM53-CL53+1</f>
        <v>26</v>
      </c>
      <c r="F53" s="14" t="str">
        <f>IF(COUNTIF(F54:F55,"Done")=2,"Done",IF(COUNTIF(F54:F55,"Not started")=2,"Not started","In progress"))</f>
        <v>In progress</v>
      </c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5"/>
      <c r="AH53" s="15"/>
      <c r="AI53" s="15"/>
      <c r="AJ53" s="15"/>
      <c r="AK53" s="15"/>
      <c r="AL53" s="15"/>
      <c r="AM53" s="15"/>
      <c r="AN53" s="15"/>
      <c r="AO53" s="15"/>
      <c r="AP53" s="15"/>
      <c r="AQ53" s="15"/>
      <c r="AR53" s="15"/>
      <c r="AS53" s="15"/>
      <c r="AT53" s="15"/>
      <c r="AU53" s="15"/>
      <c r="AV53" s="15"/>
      <c r="AW53" s="15"/>
      <c r="AX53" s="15"/>
      <c r="AY53" s="15"/>
      <c r="AZ53" s="15"/>
      <c r="BA53" s="15"/>
      <c r="BB53" s="15"/>
      <c r="BC53" s="15"/>
      <c r="BD53" s="15"/>
      <c r="BE53" s="15"/>
      <c r="BF53" s="15"/>
      <c r="BG53" s="15"/>
      <c r="BH53" s="15"/>
      <c r="BI53" s="15"/>
      <c r="BJ53" s="15"/>
      <c r="BK53" s="15"/>
      <c r="BL53" s="15"/>
      <c r="BM53" s="15"/>
      <c r="BN53" s="15"/>
      <c r="BO53" s="15"/>
      <c r="BP53" s="15"/>
      <c r="BQ53" s="15"/>
      <c r="BR53" s="15"/>
      <c r="BS53" s="15"/>
      <c r="BT53" s="15"/>
      <c r="BU53" s="15"/>
      <c r="BV53" s="15"/>
      <c r="BW53" s="15"/>
      <c r="BX53" s="15"/>
      <c r="BY53" s="15"/>
      <c r="BZ53" s="15"/>
      <c r="CA53" s="15"/>
      <c r="CB53" s="15"/>
      <c r="CC53" s="15"/>
      <c r="CD53" s="15"/>
      <c r="CE53" s="15"/>
      <c r="CF53" s="15"/>
      <c r="CG53" s="15"/>
      <c r="CH53" s="15"/>
      <c r="CJ53" t="s">
        <v>33</v>
      </c>
      <c r="CL53" s="8">
        <f>MIN(CL54:CL55)</f>
        <v>46316</v>
      </c>
      <c r="CM53" s="8">
        <f>MAX(CM54:CM55)</f>
        <v>46341</v>
      </c>
    </row>
    <row r="54" spans="1:91" ht="14.25" customHeight="1" x14ac:dyDescent="0.25">
      <c r="A54" s="16" t="s">
        <v>125</v>
      </c>
      <c r="B54" s="17"/>
      <c r="C54" s="18" t="s">
        <v>85</v>
      </c>
      <c r="D54" s="18" t="s">
        <v>90</v>
      </c>
      <c r="E54" s="19">
        <f>IF(OR(CL54="",CM54=""),"",CM54-CL54+1)</f>
        <v>7</v>
      </c>
      <c r="F54" s="20" t="s">
        <v>37</v>
      </c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21"/>
      <c r="AT54" s="21"/>
      <c r="AU54" s="21"/>
      <c r="AV54" s="21"/>
      <c r="AW54" s="21"/>
      <c r="AX54" s="21"/>
      <c r="AY54" s="21"/>
      <c r="AZ54" s="21"/>
      <c r="BA54" s="21"/>
      <c r="BB54" s="21"/>
      <c r="BC54" s="21"/>
      <c r="BD54" s="21"/>
      <c r="BE54" s="21"/>
      <c r="BF54" s="21"/>
      <c r="BG54" s="21"/>
      <c r="BH54" s="21"/>
      <c r="BI54" s="21"/>
      <c r="BJ54" s="21"/>
      <c r="BK54" s="21"/>
      <c r="BL54" s="21"/>
      <c r="BM54" s="21"/>
      <c r="BN54" s="21"/>
      <c r="BO54" s="21"/>
      <c r="BP54" s="21"/>
      <c r="BQ54" s="21"/>
      <c r="BR54" s="21"/>
      <c r="BS54" s="21"/>
      <c r="BT54" s="21"/>
      <c r="BU54" s="21"/>
      <c r="BV54" s="21"/>
      <c r="BW54" s="21"/>
      <c r="BX54" s="21"/>
      <c r="BY54" s="21"/>
      <c r="BZ54" s="21"/>
      <c r="CA54" s="21"/>
      <c r="CB54" s="21"/>
      <c r="CC54" s="21"/>
      <c r="CD54" s="21"/>
      <c r="CE54" s="21"/>
      <c r="CF54" s="21"/>
      <c r="CG54" s="21"/>
      <c r="CH54" s="21"/>
      <c r="CJ54" t="s">
        <v>38</v>
      </c>
      <c r="CL54" s="8">
        <f>IFERROR(IF(TRIM(C54)="","",IF(ISNUMBER(C54),C54,DATE(2026,MATCH(LEFT(MID(TRIM(C54),FIND(" ",TRIM(C54))+1,9),3),Lists!$A$1:$A$12,0),VALUE(LEFT(TRIM(C54),FIND(" ",TRIM(C54))-1))))),"")</f>
        <v>46316</v>
      </c>
      <c r="CM54" s="8">
        <f>IFERROR(IF(TRIM(D54)="","",IF(ISNUMBER(D54),D54,DATE(2026,MATCH(LEFT(MID(TRIM(D54),FIND(" ",TRIM(D54))+1,9),3),Lists!$A$1:$A$12,0),VALUE(LEFT(TRIM(D54),FIND(" ",TRIM(D54))-1))))),"")</f>
        <v>46322</v>
      </c>
    </row>
    <row r="55" spans="1:91" ht="14.25" customHeight="1" x14ac:dyDescent="0.25">
      <c r="A55" s="16" t="s">
        <v>126</v>
      </c>
      <c r="B55" s="17"/>
      <c r="C55" s="18" t="s">
        <v>122</v>
      </c>
      <c r="D55" s="18" t="s">
        <v>127</v>
      </c>
      <c r="E55" s="19">
        <f>IF(OR(CL55="",CM55=""),"",CM55-CL55+1)</f>
        <v>3</v>
      </c>
      <c r="F55" s="20" t="s">
        <v>62</v>
      </c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  <c r="AE55" s="21"/>
      <c r="AF55" s="21"/>
      <c r="AG55" s="21"/>
      <c r="AH55" s="21"/>
      <c r="AI55" s="21"/>
      <c r="AJ55" s="21"/>
      <c r="AK55" s="21"/>
      <c r="AL55" s="21"/>
      <c r="AM55" s="21"/>
      <c r="AN55" s="21"/>
      <c r="AO55" s="21"/>
      <c r="AP55" s="21"/>
      <c r="AQ55" s="21"/>
      <c r="AR55" s="21"/>
      <c r="AS55" s="21"/>
      <c r="AT55" s="21"/>
      <c r="AU55" s="21"/>
      <c r="AV55" s="21"/>
      <c r="AW55" s="21"/>
      <c r="AX55" s="21"/>
      <c r="AY55" s="21"/>
      <c r="AZ55" s="21"/>
      <c r="BA55" s="21"/>
      <c r="BB55" s="21"/>
      <c r="BC55" s="21"/>
      <c r="BD55" s="21"/>
      <c r="BE55" s="21"/>
      <c r="BF55" s="21"/>
      <c r="BG55" s="21"/>
      <c r="BH55" s="21"/>
      <c r="BI55" s="21"/>
      <c r="BJ55" s="21"/>
      <c r="BK55" s="21"/>
      <c r="BL55" s="21"/>
      <c r="BM55" s="21"/>
      <c r="BN55" s="21"/>
      <c r="BO55" s="21"/>
      <c r="BP55" s="21"/>
      <c r="BQ55" s="21"/>
      <c r="BR55" s="21"/>
      <c r="BS55" s="21"/>
      <c r="BT55" s="21"/>
      <c r="BU55" s="21"/>
      <c r="BV55" s="21"/>
      <c r="BW55" s="21"/>
      <c r="BX55" s="21"/>
      <c r="BY55" s="21"/>
      <c r="BZ55" s="21"/>
      <c r="CA55" s="21"/>
      <c r="CB55" s="21"/>
      <c r="CC55" s="21"/>
      <c r="CD55" s="21"/>
      <c r="CE55" s="21"/>
      <c r="CF55" s="21"/>
      <c r="CG55" s="21"/>
      <c r="CH55" s="21"/>
      <c r="CJ55" t="s">
        <v>38</v>
      </c>
      <c r="CL55" s="8">
        <f>IFERROR(IF(TRIM(C55)="","",IF(ISNUMBER(C55),C55,DATE(2026,MATCH(LEFT(MID(TRIM(C55),FIND(" ",TRIM(C55))+1,9),3),Lists!$A$1:$A$12,0),VALUE(LEFT(TRIM(C55),FIND(" ",TRIM(C55))-1))))),"")</f>
        <v>46339</v>
      </c>
      <c r="CM55" s="8">
        <f>IFERROR(IF(TRIM(D55)="","",IF(ISNUMBER(D55),D55,DATE(2026,MATCH(LEFT(MID(TRIM(D55),FIND(" ",TRIM(D55))+1,9),3),Lists!$A$1:$A$12,0),VALUE(LEFT(TRIM(D55),FIND(" ",TRIM(D55))-1))))),"")</f>
        <v>46341</v>
      </c>
    </row>
    <row r="56" spans="1:91" ht="15" customHeight="1" x14ac:dyDescent="0.25">
      <c r="A56" s="13" t="s">
        <v>128</v>
      </c>
      <c r="B56" s="14" t="s">
        <v>129</v>
      </c>
      <c r="C56" s="14" t="str">
        <f>DAY(CL56)&amp;" "&amp;INDEX(Lists!$A$1:$A$12,MONTH(CL56))</f>
        <v>27 Oct</v>
      </c>
      <c r="D56" s="14" t="str">
        <f>DAY(CM56)&amp;" "&amp;INDEX(Lists!$A$1:$A$12,MONTH(CM56))</f>
        <v>25 Nov</v>
      </c>
      <c r="E56" s="14">
        <f>CM56-CL56+1</f>
        <v>30</v>
      </c>
      <c r="F56" s="14" t="str">
        <f>IF(COUNTIF(F57:F64,"Done")=8,"Done",IF(COUNTIF(F57:F64,"Not started")=8,"Not started","In progress"))</f>
        <v>In progress</v>
      </c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5"/>
      <c r="AQ56" s="15"/>
      <c r="AR56" s="15"/>
      <c r="AS56" s="15"/>
      <c r="AT56" s="15"/>
      <c r="AU56" s="15"/>
      <c r="AV56" s="15"/>
      <c r="AW56" s="15"/>
      <c r="AX56" s="15"/>
      <c r="AY56" s="15"/>
      <c r="AZ56" s="15"/>
      <c r="BA56" s="15"/>
      <c r="BB56" s="15"/>
      <c r="BC56" s="15"/>
      <c r="BD56" s="15"/>
      <c r="BE56" s="15"/>
      <c r="BF56" s="15"/>
      <c r="BG56" s="15"/>
      <c r="BH56" s="15"/>
      <c r="BI56" s="15"/>
      <c r="BJ56" s="15"/>
      <c r="BK56" s="15"/>
      <c r="BL56" s="15"/>
      <c r="BM56" s="15"/>
      <c r="BN56" s="15"/>
      <c r="BO56" s="15"/>
      <c r="BP56" s="15"/>
      <c r="BQ56" s="15"/>
      <c r="BR56" s="15"/>
      <c r="BS56" s="15"/>
      <c r="BT56" s="15"/>
      <c r="BU56" s="15"/>
      <c r="BV56" s="15"/>
      <c r="BW56" s="15"/>
      <c r="BX56" s="15"/>
      <c r="BY56" s="15"/>
      <c r="BZ56" s="15"/>
      <c r="CA56" s="15"/>
      <c r="CB56" s="15"/>
      <c r="CC56" s="15"/>
      <c r="CD56" s="15"/>
      <c r="CE56" s="15"/>
      <c r="CF56" s="15"/>
      <c r="CG56" s="15"/>
      <c r="CH56" s="15"/>
      <c r="CJ56" t="s">
        <v>33</v>
      </c>
      <c r="CL56" s="8">
        <f>MIN(CL57:CL64)</f>
        <v>46322</v>
      </c>
      <c r="CM56" s="8">
        <f>MAX(CM57:CM64)</f>
        <v>46351</v>
      </c>
    </row>
    <row r="57" spans="1:91" ht="14.25" customHeight="1" x14ac:dyDescent="0.25">
      <c r="A57" s="16" t="s">
        <v>130</v>
      </c>
      <c r="B57" s="17"/>
      <c r="C57" s="18" t="s">
        <v>95</v>
      </c>
      <c r="D57" s="18" t="s">
        <v>131</v>
      </c>
      <c r="E57" s="19">
        <f t="shared" ref="E57:E64" si="1">IF(OR(CL57="",CM57=""),"",CM57-CL57+1)</f>
        <v>6</v>
      </c>
      <c r="F57" s="20" t="s">
        <v>62</v>
      </c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  <c r="AC57" s="21"/>
      <c r="AD57" s="21"/>
      <c r="AE57" s="21"/>
      <c r="AF57" s="21"/>
      <c r="AG57" s="21"/>
      <c r="AH57" s="21"/>
      <c r="AI57" s="21"/>
      <c r="AJ57" s="21"/>
      <c r="AK57" s="21"/>
      <c r="AL57" s="21"/>
      <c r="AM57" s="21"/>
      <c r="AN57" s="21"/>
      <c r="AO57" s="21"/>
      <c r="AP57" s="21"/>
      <c r="AQ57" s="21"/>
      <c r="AR57" s="21"/>
      <c r="AS57" s="21"/>
      <c r="AT57" s="21"/>
      <c r="AU57" s="21"/>
      <c r="AV57" s="21"/>
      <c r="AW57" s="21"/>
      <c r="AX57" s="21"/>
      <c r="AY57" s="21"/>
      <c r="AZ57" s="21"/>
      <c r="BA57" s="21"/>
      <c r="BB57" s="21"/>
      <c r="BC57" s="21"/>
      <c r="BD57" s="21"/>
      <c r="BE57" s="21"/>
      <c r="BF57" s="21"/>
      <c r="BG57" s="21"/>
      <c r="BH57" s="21"/>
      <c r="BI57" s="21"/>
      <c r="BJ57" s="21"/>
      <c r="BK57" s="21"/>
      <c r="BL57" s="21"/>
      <c r="BM57" s="21"/>
      <c r="BN57" s="21"/>
      <c r="BO57" s="21"/>
      <c r="BP57" s="21"/>
      <c r="BQ57" s="21"/>
      <c r="BR57" s="21"/>
      <c r="BS57" s="21"/>
      <c r="BT57" s="21"/>
      <c r="BU57" s="21"/>
      <c r="BV57" s="21"/>
      <c r="BW57" s="21"/>
      <c r="BX57" s="21"/>
      <c r="BY57" s="21"/>
      <c r="BZ57" s="21"/>
      <c r="CA57" s="21"/>
      <c r="CB57" s="21"/>
      <c r="CC57" s="21"/>
      <c r="CD57" s="21"/>
      <c r="CE57" s="21"/>
      <c r="CF57" s="21"/>
      <c r="CG57" s="21"/>
      <c r="CH57" s="21"/>
      <c r="CJ57" t="s">
        <v>38</v>
      </c>
      <c r="CL57" s="8">
        <f>IFERROR(IF(TRIM(C57)="","",IF(ISNUMBER(C57),C57,DATE(2026,MATCH(LEFT(MID(TRIM(C57),FIND(" ",TRIM(C57))+1,9),3),Lists!$A$1:$A$12,0),VALUE(LEFT(TRIM(C57),FIND(" ",TRIM(C57))-1))))),"")</f>
        <v>46335</v>
      </c>
      <c r="CM57" s="8">
        <f>IFERROR(IF(TRIM(D57)="","",IF(ISNUMBER(D57),D57,DATE(2026,MATCH(LEFT(MID(TRIM(D57),FIND(" ",TRIM(D57))+1,9),3),Lists!$A$1:$A$12,0),VALUE(LEFT(TRIM(D57),FIND(" ",TRIM(D57))-1))))),"")</f>
        <v>46340</v>
      </c>
    </row>
    <row r="58" spans="1:91" ht="14.25" customHeight="1" x14ac:dyDescent="0.25">
      <c r="A58" s="16" t="s">
        <v>132</v>
      </c>
      <c r="B58" s="17"/>
      <c r="C58" s="18" t="s">
        <v>102</v>
      </c>
      <c r="D58" s="18" t="s">
        <v>127</v>
      </c>
      <c r="E58" s="19">
        <f t="shared" si="1"/>
        <v>4</v>
      </c>
      <c r="F58" s="20" t="s">
        <v>62</v>
      </c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  <c r="AB58" s="21"/>
      <c r="AC58" s="21"/>
      <c r="AD58" s="21"/>
      <c r="AE58" s="21"/>
      <c r="AF58" s="21"/>
      <c r="AG58" s="21"/>
      <c r="AH58" s="21"/>
      <c r="AI58" s="21"/>
      <c r="AJ58" s="21"/>
      <c r="AK58" s="21"/>
      <c r="AL58" s="21"/>
      <c r="AM58" s="21"/>
      <c r="AN58" s="21"/>
      <c r="AO58" s="21"/>
      <c r="AP58" s="21"/>
      <c r="AQ58" s="21"/>
      <c r="AR58" s="21"/>
      <c r="AS58" s="21"/>
      <c r="AT58" s="21"/>
      <c r="AU58" s="21"/>
      <c r="AV58" s="21"/>
      <c r="AW58" s="21"/>
      <c r="AX58" s="21"/>
      <c r="AY58" s="21"/>
      <c r="AZ58" s="21"/>
      <c r="BA58" s="21"/>
      <c r="BB58" s="21"/>
      <c r="BC58" s="21"/>
      <c r="BD58" s="21"/>
      <c r="BE58" s="21"/>
      <c r="BF58" s="21"/>
      <c r="BG58" s="21"/>
      <c r="BH58" s="21"/>
      <c r="BI58" s="21"/>
      <c r="BJ58" s="21"/>
      <c r="BK58" s="21"/>
      <c r="BL58" s="21"/>
      <c r="BM58" s="21"/>
      <c r="BN58" s="21"/>
      <c r="BO58" s="21"/>
      <c r="BP58" s="21"/>
      <c r="BQ58" s="21"/>
      <c r="BR58" s="21"/>
      <c r="BS58" s="21"/>
      <c r="BT58" s="21"/>
      <c r="BU58" s="21"/>
      <c r="BV58" s="21"/>
      <c r="BW58" s="21"/>
      <c r="BX58" s="21"/>
      <c r="BY58" s="21"/>
      <c r="BZ58" s="21"/>
      <c r="CA58" s="21"/>
      <c r="CB58" s="21"/>
      <c r="CC58" s="21"/>
      <c r="CD58" s="21"/>
      <c r="CE58" s="21"/>
      <c r="CF58" s="21"/>
      <c r="CG58" s="21"/>
      <c r="CH58" s="21"/>
      <c r="CJ58" t="s">
        <v>38</v>
      </c>
      <c r="CL58" s="8">
        <f>IFERROR(IF(TRIM(C58)="","",IF(ISNUMBER(C58),C58,DATE(2026,MATCH(LEFT(MID(TRIM(C58),FIND(" ",TRIM(C58))+1,9),3),Lists!$A$1:$A$12,0),VALUE(LEFT(TRIM(C58),FIND(" ",TRIM(C58))-1))))),"")</f>
        <v>46338</v>
      </c>
      <c r="CM58" s="8">
        <f>IFERROR(IF(TRIM(D58)="","",IF(ISNUMBER(D58),D58,DATE(2026,MATCH(LEFT(MID(TRIM(D58),FIND(" ",TRIM(D58))+1,9),3),Lists!$A$1:$A$12,0),VALUE(LEFT(TRIM(D58),FIND(" ",TRIM(D58))-1))))),"")</f>
        <v>46341</v>
      </c>
    </row>
    <row r="59" spans="1:91" ht="14.25" customHeight="1" x14ac:dyDescent="0.25">
      <c r="A59" s="16" t="s">
        <v>133</v>
      </c>
      <c r="B59" s="17"/>
      <c r="C59" s="18" t="s">
        <v>90</v>
      </c>
      <c r="D59" s="18" t="s">
        <v>134</v>
      </c>
      <c r="E59" s="19">
        <f t="shared" si="1"/>
        <v>2</v>
      </c>
      <c r="F59" s="20" t="s">
        <v>37</v>
      </c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21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21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21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21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21"/>
      <c r="CC59" s="21"/>
      <c r="CD59" s="21"/>
      <c r="CE59" s="21"/>
      <c r="CF59" s="21"/>
      <c r="CG59" s="21"/>
      <c r="CH59" s="21"/>
      <c r="CJ59" t="s">
        <v>38</v>
      </c>
      <c r="CL59" s="8">
        <f>IFERROR(IF(TRIM(C59)="","",IF(ISNUMBER(C59),C59,DATE(2026,MATCH(LEFT(MID(TRIM(C59),FIND(" ",TRIM(C59))+1,9),3),Lists!$A$1:$A$12,0),VALUE(LEFT(TRIM(C59),FIND(" ",TRIM(C59))-1))))),"")</f>
        <v>46322</v>
      </c>
      <c r="CM59" s="8">
        <f>IFERROR(IF(TRIM(D59)="","",IF(ISNUMBER(D59),D59,DATE(2026,MATCH(LEFT(MID(TRIM(D59),FIND(" ",TRIM(D59))+1,9),3),Lists!$A$1:$A$12,0),VALUE(LEFT(TRIM(D59),FIND(" ",TRIM(D59))-1))))),"")</f>
        <v>46323</v>
      </c>
    </row>
    <row r="60" spans="1:91" ht="14.25" customHeight="1" x14ac:dyDescent="0.25">
      <c r="A60" s="16" t="s">
        <v>135</v>
      </c>
      <c r="B60" s="17"/>
      <c r="C60" s="18" t="s">
        <v>131</v>
      </c>
      <c r="D60" s="18" t="s">
        <v>136</v>
      </c>
      <c r="E60" s="19">
        <f t="shared" si="1"/>
        <v>3</v>
      </c>
      <c r="F60" s="20" t="s">
        <v>62</v>
      </c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  <c r="AB60" s="21"/>
      <c r="AC60" s="21"/>
      <c r="AD60" s="21"/>
      <c r="AE60" s="21"/>
      <c r="AF60" s="21"/>
      <c r="AG60" s="21"/>
      <c r="AH60" s="21"/>
      <c r="AI60" s="21"/>
      <c r="AJ60" s="21"/>
      <c r="AK60" s="21"/>
      <c r="AL60" s="21"/>
      <c r="AM60" s="21"/>
      <c r="AN60" s="21"/>
      <c r="AO60" s="21"/>
      <c r="AP60" s="21"/>
      <c r="AQ60" s="21"/>
      <c r="AR60" s="21"/>
      <c r="AS60" s="21"/>
      <c r="AT60" s="21"/>
      <c r="AU60" s="21"/>
      <c r="AV60" s="21"/>
      <c r="AW60" s="21"/>
      <c r="AX60" s="21"/>
      <c r="AY60" s="21"/>
      <c r="AZ60" s="21"/>
      <c r="BA60" s="21"/>
      <c r="BB60" s="21"/>
      <c r="BC60" s="21"/>
      <c r="BD60" s="21"/>
      <c r="BE60" s="21"/>
      <c r="BF60" s="21"/>
      <c r="BG60" s="21"/>
      <c r="BH60" s="21"/>
      <c r="BI60" s="21"/>
      <c r="BJ60" s="21"/>
      <c r="BK60" s="21"/>
      <c r="BL60" s="21"/>
      <c r="BM60" s="21"/>
      <c r="BN60" s="21"/>
      <c r="BO60" s="21"/>
      <c r="BP60" s="21"/>
      <c r="BQ60" s="21"/>
      <c r="BR60" s="21"/>
      <c r="BS60" s="21"/>
      <c r="BT60" s="21"/>
      <c r="BU60" s="21"/>
      <c r="BV60" s="21"/>
      <c r="BW60" s="21"/>
      <c r="BX60" s="21"/>
      <c r="BY60" s="21"/>
      <c r="BZ60" s="21"/>
      <c r="CA60" s="21"/>
      <c r="CB60" s="21"/>
      <c r="CC60" s="21"/>
      <c r="CD60" s="21"/>
      <c r="CE60" s="21"/>
      <c r="CF60" s="21"/>
      <c r="CG60" s="21"/>
      <c r="CH60" s="21"/>
      <c r="CJ60" t="s">
        <v>38</v>
      </c>
      <c r="CL60" s="8">
        <f>IFERROR(IF(TRIM(C60)="","",IF(ISNUMBER(C60),C60,DATE(2026,MATCH(LEFT(MID(TRIM(C60),FIND(" ",TRIM(C60))+1,9),3),Lists!$A$1:$A$12,0),VALUE(LEFT(TRIM(C60),FIND(" ",TRIM(C60))-1))))),"")</f>
        <v>46340</v>
      </c>
      <c r="CM60" s="8">
        <f>IFERROR(IF(TRIM(D60)="","",IF(ISNUMBER(D60),D60,DATE(2026,MATCH(LEFT(MID(TRIM(D60),FIND(" ",TRIM(D60))+1,9),3),Lists!$A$1:$A$12,0),VALUE(LEFT(TRIM(D60),FIND(" ",TRIM(D60))-1))))),"")</f>
        <v>46342</v>
      </c>
    </row>
    <row r="61" spans="1:91" ht="14.25" customHeight="1" x14ac:dyDescent="0.25">
      <c r="A61" s="16" t="s">
        <v>137</v>
      </c>
      <c r="B61" s="17"/>
      <c r="C61" s="18" t="s">
        <v>60</v>
      </c>
      <c r="D61" s="18" t="s">
        <v>122</v>
      </c>
      <c r="E61" s="19">
        <f t="shared" si="1"/>
        <v>12</v>
      </c>
      <c r="F61" s="20" t="s">
        <v>62</v>
      </c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  <c r="AB61" s="21"/>
      <c r="AC61" s="21"/>
      <c r="AD61" s="21"/>
      <c r="AE61" s="21"/>
      <c r="AF61" s="21"/>
      <c r="AG61" s="21"/>
      <c r="AH61" s="21"/>
      <c r="AI61" s="21"/>
      <c r="AJ61" s="21"/>
      <c r="AK61" s="21"/>
      <c r="AL61" s="21"/>
      <c r="AM61" s="21"/>
      <c r="AN61" s="21"/>
      <c r="AO61" s="21"/>
      <c r="AP61" s="21"/>
      <c r="AQ61" s="21"/>
      <c r="AR61" s="21"/>
      <c r="AS61" s="21"/>
      <c r="AT61" s="21"/>
      <c r="AU61" s="21"/>
      <c r="AV61" s="21"/>
      <c r="AW61" s="21"/>
      <c r="AX61" s="21"/>
      <c r="AY61" s="21"/>
      <c r="AZ61" s="21"/>
      <c r="BA61" s="21"/>
      <c r="BB61" s="21"/>
      <c r="BC61" s="21"/>
      <c r="BD61" s="21"/>
      <c r="BE61" s="21"/>
      <c r="BF61" s="21"/>
      <c r="BG61" s="21"/>
      <c r="BH61" s="21"/>
      <c r="BI61" s="21"/>
      <c r="BJ61" s="21"/>
      <c r="BK61" s="21"/>
      <c r="BL61" s="21"/>
      <c r="BM61" s="21"/>
      <c r="BN61" s="21"/>
      <c r="BO61" s="21"/>
      <c r="BP61" s="21"/>
      <c r="BQ61" s="21"/>
      <c r="BR61" s="21"/>
      <c r="BS61" s="21"/>
      <c r="BT61" s="21"/>
      <c r="BU61" s="21"/>
      <c r="BV61" s="21"/>
      <c r="BW61" s="21"/>
      <c r="BX61" s="21"/>
      <c r="BY61" s="21"/>
      <c r="BZ61" s="21"/>
      <c r="CA61" s="21"/>
      <c r="CB61" s="21"/>
      <c r="CC61" s="21"/>
      <c r="CD61" s="21"/>
      <c r="CE61" s="21"/>
      <c r="CF61" s="21"/>
      <c r="CG61" s="21"/>
      <c r="CH61" s="21"/>
      <c r="CJ61" t="s">
        <v>38</v>
      </c>
      <c r="CL61" s="8">
        <f>IFERROR(IF(TRIM(C61)="","",IF(ISNUMBER(C61),C61,DATE(2026,MATCH(LEFT(MID(TRIM(C61),FIND(" ",TRIM(C61))+1,9),3),Lists!$A$1:$A$12,0),VALUE(LEFT(TRIM(C61),FIND(" ",TRIM(C61))-1))))),"")</f>
        <v>46328</v>
      </c>
      <c r="CM61" s="8">
        <f>IFERROR(IF(TRIM(D61)="","",IF(ISNUMBER(D61),D61,DATE(2026,MATCH(LEFT(MID(TRIM(D61),FIND(" ",TRIM(D61))+1,9),3),Lists!$A$1:$A$12,0),VALUE(LEFT(TRIM(D61),FIND(" ",TRIM(D61))-1))))),"")</f>
        <v>46339</v>
      </c>
    </row>
    <row r="62" spans="1:91" ht="14.25" customHeight="1" x14ac:dyDescent="0.25">
      <c r="A62" s="16" t="s">
        <v>138</v>
      </c>
      <c r="B62" s="17"/>
      <c r="C62" s="18" t="s">
        <v>131</v>
      </c>
      <c r="D62" s="18" t="s">
        <v>139</v>
      </c>
      <c r="E62" s="19">
        <f t="shared" si="1"/>
        <v>7</v>
      </c>
      <c r="F62" s="20" t="s">
        <v>62</v>
      </c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  <c r="AB62" s="21"/>
      <c r="AC62" s="21"/>
      <c r="AD62" s="21"/>
      <c r="AE62" s="21"/>
      <c r="AF62" s="21"/>
      <c r="AG62" s="21"/>
      <c r="AH62" s="21"/>
      <c r="AI62" s="21"/>
      <c r="AJ62" s="21"/>
      <c r="AK62" s="21"/>
      <c r="AL62" s="21"/>
      <c r="AM62" s="21"/>
      <c r="AN62" s="21"/>
      <c r="AO62" s="21"/>
      <c r="AP62" s="21"/>
      <c r="AQ62" s="21"/>
      <c r="AR62" s="21"/>
      <c r="AS62" s="21"/>
      <c r="AT62" s="21"/>
      <c r="AU62" s="21"/>
      <c r="AV62" s="21"/>
      <c r="AW62" s="21"/>
      <c r="AX62" s="21"/>
      <c r="AY62" s="21"/>
      <c r="AZ62" s="21"/>
      <c r="BA62" s="21"/>
      <c r="BB62" s="21"/>
      <c r="BC62" s="21"/>
      <c r="BD62" s="21"/>
      <c r="BE62" s="21"/>
      <c r="BF62" s="21"/>
      <c r="BG62" s="21"/>
      <c r="BH62" s="21"/>
      <c r="BI62" s="21"/>
      <c r="BJ62" s="21"/>
      <c r="BK62" s="21"/>
      <c r="BL62" s="21"/>
      <c r="BM62" s="21"/>
      <c r="BN62" s="21"/>
      <c r="BO62" s="21"/>
      <c r="BP62" s="21"/>
      <c r="BQ62" s="21"/>
      <c r="BR62" s="21"/>
      <c r="BS62" s="21"/>
      <c r="BT62" s="21"/>
      <c r="BU62" s="21"/>
      <c r="BV62" s="21"/>
      <c r="BW62" s="21"/>
      <c r="BX62" s="21"/>
      <c r="BY62" s="21"/>
      <c r="BZ62" s="21"/>
      <c r="CA62" s="21"/>
      <c r="CB62" s="21"/>
      <c r="CC62" s="21"/>
      <c r="CD62" s="21"/>
      <c r="CE62" s="21"/>
      <c r="CF62" s="21"/>
      <c r="CG62" s="21"/>
      <c r="CH62" s="21"/>
      <c r="CJ62" t="s">
        <v>38</v>
      </c>
      <c r="CL62" s="8">
        <f>IFERROR(IF(TRIM(C62)="","",IF(ISNUMBER(C62),C62,DATE(2026,MATCH(LEFT(MID(TRIM(C62),FIND(" ",TRIM(C62))+1,9),3),Lists!$A$1:$A$12,0),VALUE(LEFT(TRIM(C62),FIND(" ",TRIM(C62))-1))))),"")</f>
        <v>46340</v>
      </c>
      <c r="CM62" s="8">
        <f>IFERROR(IF(TRIM(D62)="","",IF(ISNUMBER(D62),D62,DATE(2026,MATCH(LEFT(MID(TRIM(D62),FIND(" ",TRIM(D62))+1,9),3),Lists!$A$1:$A$12,0),VALUE(LEFT(TRIM(D62),FIND(" ",TRIM(D62))-1))))),"")</f>
        <v>46346</v>
      </c>
    </row>
    <row r="63" spans="1:91" ht="14.25" customHeight="1" x14ac:dyDescent="0.25">
      <c r="A63" s="16" t="s">
        <v>140</v>
      </c>
      <c r="B63" s="17"/>
      <c r="C63" s="18" t="s">
        <v>141</v>
      </c>
      <c r="D63" s="18" t="s">
        <v>142</v>
      </c>
      <c r="E63" s="19">
        <f t="shared" si="1"/>
        <v>5</v>
      </c>
      <c r="F63" s="20" t="s">
        <v>62</v>
      </c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21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21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21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21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21"/>
      <c r="CC63" s="21"/>
      <c r="CD63" s="21"/>
      <c r="CE63" s="21"/>
      <c r="CF63" s="21"/>
      <c r="CG63" s="21"/>
      <c r="CH63" s="21"/>
      <c r="CJ63" t="s">
        <v>38</v>
      </c>
      <c r="CL63" s="8">
        <f>IFERROR(IF(TRIM(C63)="","",IF(ISNUMBER(C63),C63,DATE(2026,MATCH(LEFT(MID(TRIM(C63),FIND(" ",TRIM(C63))+1,9),3),Lists!$A$1:$A$12,0),VALUE(LEFT(TRIM(C63),FIND(" ",TRIM(C63))-1))))),"")</f>
        <v>46343</v>
      </c>
      <c r="CM63" s="8">
        <f>IFERROR(IF(TRIM(D63)="","",IF(ISNUMBER(D63),D63,DATE(2026,MATCH(LEFT(MID(TRIM(D63),FIND(" ",TRIM(D63))+1,9),3),Lists!$A$1:$A$12,0),VALUE(LEFT(TRIM(D63),FIND(" ",TRIM(D63))-1))))),"")</f>
        <v>46347</v>
      </c>
    </row>
    <row r="64" spans="1:91" ht="14.25" customHeight="1" x14ac:dyDescent="0.25">
      <c r="A64" s="16" t="s">
        <v>143</v>
      </c>
      <c r="B64" s="17"/>
      <c r="C64" s="18" t="s">
        <v>144</v>
      </c>
      <c r="D64" s="18" t="s">
        <v>145</v>
      </c>
      <c r="E64" s="19">
        <f t="shared" si="1"/>
        <v>4</v>
      </c>
      <c r="F64" s="20" t="s">
        <v>62</v>
      </c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  <c r="AC64" s="21"/>
      <c r="AD64" s="21"/>
      <c r="AE64" s="21"/>
      <c r="AF64" s="21"/>
      <c r="AG64" s="21"/>
      <c r="AH64" s="21"/>
      <c r="AI64" s="21"/>
      <c r="AJ64" s="21"/>
      <c r="AK64" s="21"/>
      <c r="AL64" s="21"/>
      <c r="AM64" s="21"/>
      <c r="AN64" s="21"/>
      <c r="AO64" s="21"/>
      <c r="AP64" s="21"/>
      <c r="AQ64" s="21"/>
      <c r="AR64" s="21"/>
      <c r="AS64" s="21"/>
      <c r="AT64" s="21"/>
      <c r="AU64" s="21"/>
      <c r="AV64" s="21"/>
      <c r="AW64" s="21"/>
      <c r="AX64" s="21"/>
      <c r="AY64" s="21"/>
      <c r="AZ64" s="21"/>
      <c r="BA64" s="21"/>
      <c r="BB64" s="21"/>
      <c r="BC64" s="21"/>
      <c r="BD64" s="21"/>
      <c r="BE64" s="21"/>
      <c r="BF64" s="21"/>
      <c r="BG64" s="21"/>
      <c r="BH64" s="21"/>
      <c r="BI64" s="21"/>
      <c r="BJ64" s="21"/>
      <c r="BK64" s="21"/>
      <c r="BL64" s="21"/>
      <c r="BM64" s="21"/>
      <c r="BN64" s="21"/>
      <c r="BO64" s="21"/>
      <c r="BP64" s="21"/>
      <c r="BQ64" s="21"/>
      <c r="BR64" s="21"/>
      <c r="BS64" s="21"/>
      <c r="BT64" s="21"/>
      <c r="BU64" s="21"/>
      <c r="BV64" s="21"/>
      <c r="BW64" s="21"/>
      <c r="BX64" s="21"/>
      <c r="BY64" s="21"/>
      <c r="BZ64" s="21"/>
      <c r="CA64" s="21"/>
      <c r="CB64" s="21"/>
      <c r="CC64" s="21"/>
      <c r="CD64" s="21"/>
      <c r="CE64" s="21"/>
      <c r="CF64" s="21"/>
      <c r="CG64" s="21"/>
      <c r="CH64" s="21"/>
      <c r="CJ64" t="s">
        <v>38</v>
      </c>
      <c r="CL64" s="8">
        <f>IFERROR(IF(TRIM(C64)="","",IF(ISNUMBER(C64),C64,DATE(2026,MATCH(LEFT(MID(TRIM(C64),FIND(" ",TRIM(C64))+1,9),3),Lists!$A$1:$A$12,0),VALUE(LEFT(TRIM(C64),FIND(" ",TRIM(C64))-1))))),"")</f>
        <v>46348</v>
      </c>
      <c r="CM64" s="8">
        <f>IFERROR(IF(TRIM(D64)="","",IF(ISNUMBER(D64),D64,DATE(2026,MATCH(LEFT(MID(TRIM(D64),FIND(" ",TRIM(D64))+1,9),3),Lists!$A$1:$A$12,0),VALUE(LEFT(TRIM(D64),FIND(" ",TRIM(D64))-1))))),"")</f>
        <v>46351</v>
      </c>
    </row>
    <row r="65" spans="1:91" ht="15" customHeight="1" x14ac:dyDescent="0.25">
      <c r="A65" s="13" t="s">
        <v>146</v>
      </c>
      <c r="B65" s="14" t="s">
        <v>147</v>
      </c>
      <c r="C65" s="14" t="str">
        <f>DAY(CL65)&amp;" "&amp;INDEX(Lists!$A$1:$A$12,MONTH(CL65))</f>
        <v>26 Nov</v>
      </c>
      <c r="D65" s="14" t="str">
        <f>DAY(CM65)&amp;" "&amp;INDEX(Lists!$A$1:$A$12,MONTH(CM65))</f>
        <v>1 Dec</v>
      </c>
      <c r="E65" s="14">
        <f>CM65-CL65+1</f>
        <v>6</v>
      </c>
      <c r="F65" s="14" t="str">
        <f>IF(COUNTIF(F66:F67,"Done")=2,"Done",IF(COUNTIF(F66:F67,"Not started")=2,"Not started","In progress"))</f>
        <v>Not started</v>
      </c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  <c r="AH65" s="15"/>
      <c r="AI65" s="15"/>
      <c r="AJ65" s="15"/>
      <c r="AK65" s="15"/>
      <c r="AL65" s="15"/>
      <c r="AM65" s="15"/>
      <c r="AN65" s="15"/>
      <c r="AO65" s="15"/>
      <c r="AP65" s="15"/>
      <c r="AQ65" s="15"/>
      <c r="AR65" s="15"/>
      <c r="AS65" s="15"/>
      <c r="AT65" s="15"/>
      <c r="AU65" s="15"/>
      <c r="AV65" s="15"/>
      <c r="AW65" s="15"/>
      <c r="AX65" s="15"/>
      <c r="AY65" s="15"/>
      <c r="AZ65" s="15"/>
      <c r="BA65" s="15"/>
      <c r="BB65" s="15"/>
      <c r="BC65" s="15"/>
      <c r="BD65" s="15"/>
      <c r="BE65" s="15"/>
      <c r="BF65" s="15"/>
      <c r="BG65" s="15"/>
      <c r="BH65" s="15"/>
      <c r="BI65" s="15"/>
      <c r="BJ65" s="15"/>
      <c r="BK65" s="15"/>
      <c r="BL65" s="15"/>
      <c r="BM65" s="15"/>
      <c r="BN65" s="15"/>
      <c r="BO65" s="15"/>
      <c r="BP65" s="15"/>
      <c r="BQ65" s="15"/>
      <c r="BR65" s="15"/>
      <c r="BS65" s="15"/>
      <c r="BT65" s="15"/>
      <c r="BU65" s="15"/>
      <c r="BV65" s="15"/>
      <c r="BW65" s="15"/>
      <c r="BX65" s="15"/>
      <c r="BY65" s="15"/>
      <c r="BZ65" s="15"/>
      <c r="CA65" s="15"/>
      <c r="CB65" s="15"/>
      <c r="CC65" s="15"/>
      <c r="CD65" s="15"/>
      <c r="CE65" s="15"/>
      <c r="CF65" s="15"/>
      <c r="CG65" s="15"/>
      <c r="CH65" s="15"/>
      <c r="CJ65" t="s">
        <v>33</v>
      </c>
      <c r="CL65" s="8">
        <f>MIN(CL66:CL67)</f>
        <v>46352</v>
      </c>
      <c r="CM65" s="8">
        <f>MAX(CM66:CM67)</f>
        <v>46357</v>
      </c>
    </row>
    <row r="66" spans="1:91" ht="14.25" customHeight="1" x14ac:dyDescent="0.25">
      <c r="A66" s="16" t="s">
        <v>148</v>
      </c>
      <c r="B66" s="17"/>
      <c r="C66" s="18" t="s">
        <v>149</v>
      </c>
      <c r="D66" s="18" t="s">
        <v>150</v>
      </c>
      <c r="E66" s="19">
        <f>IF(OR(CL66="",CM66=""),"",CM66-CL66+1)</f>
        <v>5</v>
      </c>
      <c r="F66" s="20" t="s">
        <v>62</v>
      </c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  <c r="AB66" s="21"/>
      <c r="AC66" s="21"/>
      <c r="AD66" s="21"/>
      <c r="AE66" s="21"/>
      <c r="AF66" s="21"/>
      <c r="AG66" s="21"/>
      <c r="AH66" s="21"/>
      <c r="AI66" s="21"/>
      <c r="AJ66" s="21"/>
      <c r="AK66" s="21"/>
      <c r="AL66" s="21"/>
      <c r="AM66" s="21"/>
      <c r="AN66" s="21"/>
      <c r="AO66" s="21"/>
      <c r="AP66" s="21"/>
      <c r="AQ66" s="21"/>
      <c r="AR66" s="21"/>
      <c r="AS66" s="21"/>
      <c r="AT66" s="21"/>
      <c r="AU66" s="21"/>
      <c r="AV66" s="21"/>
      <c r="AW66" s="21"/>
      <c r="AX66" s="21"/>
      <c r="AY66" s="21"/>
      <c r="AZ66" s="21"/>
      <c r="BA66" s="21"/>
      <c r="BB66" s="21"/>
      <c r="BC66" s="21"/>
      <c r="BD66" s="21"/>
      <c r="BE66" s="21"/>
      <c r="BF66" s="21"/>
      <c r="BG66" s="21"/>
      <c r="BH66" s="21"/>
      <c r="BI66" s="21"/>
      <c r="BJ66" s="21"/>
      <c r="BK66" s="21"/>
      <c r="BL66" s="21"/>
      <c r="BM66" s="21"/>
      <c r="BN66" s="21"/>
      <c r="BO66" s="21"/>
      <c r="BP66" s="21"/>
      <c r="BQ66" s="21"/>
      <c r="BR66" s="21"/>
      <c r="BS66" s="21"/>
      <c r="BT66" s="21"/>
      <c r="BU66" s="21"/>
      <c r="BV66" s="21"/>
      <c r="BW66" s="21"/>
      <c r="BX66" s="21"/>
      <c r="BY66" s="21"/>
      <c r="BZ66" s="21"/>
      <c r="CA66" s="21"/>
      <c r="CB66" s="21"/>
      <c r="CC66" s="21"/>
      <c r="CD66" s="21"/>
      <c r="CE66" s="21"/>
      <c r="CF66" s="21"/>
      <c r="CG66" s="21"/>
      <c r="CH66" s="21"/>
      <c r="CJ66" t="s">
        <v>38</v>
      </c>
      <c r="CL66" s="8">
        <f>IFERROR(IF(TRIM(C66)="","",IF(ISNUMBER(C66),C66,DATE(2026,MATCH(LEFT(MID(TRIM(C66),FIND(" ",TRIM(C66))+1,9),3),Lists!$A$1:$A$12,0),VALUE(LEFT(TRIM(C66),FIND(" ",TRIM(C66))-1))))),"")</f>
        <v>46352</v>
      </c>
      <c r="CM66" s="8">
        <f>IFERROR(IF(TRIM(D66)="","",IF(ISNUMBER(D66),D66,DATE(2026,MATCH(LEFT(MID(TRIM(D66),FIND(" ",TRIM(D66))+1,9),3),Lists!$A$1:$A$12,0),VALUE(LEFT(TRIM(D66),FIND(" ",TRIM(D66))-1))))),"")</f>
        <v>46356</v>
      </c>
    </row>
    <row r="67" spans="1:91" ht="14.25" customHeight="1" x14ac:dyDescent="0.25">
      <c r="A67" s="16" t="s">
        <v>151</v>
      </c>
      <c r="B67" s="17"/>
      <c r="C67" s="18" t="s">
        <v>152</v>
      </c>
      <c r="D67" s="18" t="s">
        <v>153</v>
      </c>
      <c r="E67" s="19">
        <f>IF(OR(CL67="",CM67=""),"",CM67-CL67+1)</f>
        <v>4</v>
      </c>
      <c r="F67" s="20" t="s">
        <v>62</v>
      </c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  <c r="AB67" s="21"/>
      <c r="AC67" s="21"/>
      <c r="AD67" s="21"/>
      <c r="AE67" s="21"/>
      <c r="AF67" s="21"/>
      <c r="AG67" s="21"/>
      <c r="AH67" s="21"/>
      <c r="AI67" s="21"/>
      <c r="AJ67" s="21"/>
      <c r="AK67" s="21"/>
      <c r="AL67" s="21"/>
      <c r="AM67" s="21"/>
      <c r="AN67" s="21"/>
      <c r="AO67" s="21"/>
      <c r="AP67" s="21"/>
      <c r="AQ67" s="21"/>
      <c r="AR67" s="21"/>
      <c r="AS67" s="21"/>
      <c r="AT67" s="21"/>
      <c r="AU67" s="21"/>
      <c r="AV67" s="21"/>
      <c r="AW67" s="21"/>
      <c r="AX67" s="21"/>
      <c r="AY67" s="21"/>
      <c r="AZ67" s="21"/>
      <c r="BA67" s="21"/>
      <c r="BB67" s="21"/>
      <c r="BC67" s="21"/>
      <c r="BD67" s="21"/>
      <c r="BE67" s="21"/>
      <c r="BF67" s="21"/>
      <c r="BG67" s="21"/>
      <c r="BH67" s="21"/>
      <c r="BI67" s="21"/>
      <c r="BJ67" s="21"/>
      <c r="BK67" s="21"/>
      <c r="BL67" s="21"/>
      <c r="BM67" s="21"/>
      <c r="BN67" s="21"/>
      <c r="BO67" s="21"/>
      <c r="BP67" s="21"/>
      <c r="BQ67" s="21"/>
      <c r="BR67" s="21"/>
      <c r="BS67" s="21"/>
      <c r="BT67" s="21"/>
      <c r="BU67" s="21"/>
      <c r="BV67" s="21"/>
      <c r="BW67" s="21"/>
      <c r="BX67" s="21"/>
      <c r="BY67" s="21"/>
      <c r="BZ67" s="21"/>
      <c r="CA67" s="21"/>
      <c r="CB67" s="21"/>
      <c r="CC67" s="21"/>
      <c r="CD67" s="21"/>
      <c r="CE67" s="21"/>
      <c r="CF67" s="21"/>
      <c r="CG67" s="21"/>
      <c r="CH67" s="21"/>
      <c r="CJ67" t="s">
        <v>38</v>
      </c>
      <c r="CL67" s="8">
        <f>IFERROR(IF(TRIM(C67)="","",IF(ISNUMBER(C67),C67,DATE(2026,MATCH(LEFT(MID(TRIM(C67),FIND(" ",TRIM(C67))+1,9),3),Lists!$A$1:$A$12,0),VALUE(LEFT(TRIM(C67),FIND(" ",TRIM(C67))-1))))),"")</f>
        <v>46354</v>
      </c>
      <c r="CM67" s="8">
        <f>IFERROR(IF(TRIM(D67)="","",IF(ISNUMBER(D67),D67,DATE(2026,MATCH(LEFT(MID(TRIM(D67),FIND(" ",TRIM(D67))+1,9),3),Lists!$A$1:$A$12,0),VALUE(LEFT(TRIM(D67),FIND(" ",TRIM(D67))-1))))),"")</f>
        <v>46357</v>
      </c>
    </row>
    <row r="68" spans="1:91" ht="15" customHeight="1" x14ac:dyDescent="0.25">
      <c r="A68" s="13" t="s">
        <v>154</v>
      </c>
      <c r="B68" s="14" t="s">
        <v>147</v>
      </c>
      <c r="C68" s="14" t="str">
        <f>DAY(CL68)&amp;" "&amp;INDEX(Lists!$A$1:$A$12,MONTH(CL68))</f>
        <v>12 Oct</v>
      </c>
      <c r="D68" s="14" t="str">
        <f>DAY(CM68)&amp;" "&amp;INDEX(Lists!$A$1:$A$12,MONTH(CM68))</f>
        <v>28 Oct</v>
      </c>
      <c r="E68" s="14">
        <f>CM68-CL68+1</f>
        <v>17</v>
      </c>
      <c r="F68" s="14" t="str">
        <f>IF(COUNTIF(F69:F71,"Done")=3,"Done",IF(COUNTIF(F69:F71,"Not started")=3,"Not started","In progress"))</f>
        <v>Done</v>
      </c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5"/>
      <c r="AH68" s="15"/>
      <c r="AI68" s="15"/>
      <c r="AJ68" s="15"/>
      <c r="AK68" s="15"/>
      <c r="AL68" s="15"/>
      <c r="AM68" s="15"/>
      <c r="AN68" s="15"/>
      <c r="AO68" s="15"/>
      <c r="AP68" s="15"/>
      <c r="AQ68" s="15"/>
      <c r="AR68" s="15"/>
      <c r="AS68" s="15"/>
      <c r="AT68" s="15"/>
      <c r="AU68" s="15"/>
      <c r="AV68" s="15"/>
      <c r="AW68" s="15"/>
      <c r="AX68" s="15"/>
      <c r="AY68" s="15"/>
      <c r="AZ68" s="15"/>
      <c r="BA68" s="15"/>
      <c r="BB68" s="15"/>
      <c r="BC68" s="15"/>
      <c r="BD68" s="15"/>
      <c r="BE68" s="15"/>
      <c r="BF68" s="15"/>
      <c r="BG68" s="15"/>
      <c r="BH68" s="15"/>
      <c r="BI68" s="15"/>
      <c r="BJ68" s="15"/>
      <c r="BK68" s="15"/>
      <c r="BL68" s="15"/>
      <c r="BM68" s="15"/>
      <c r="BN68" s="15"/>
      <c r="BO68" s="15"/>
      <c r="BP68" s="15"/>
      <c r="BQ68" s="15"/>
      <c r="BR68" s="15"/>
      <c r="BS68" s="15"/>
      <c r="BT68" s="15"/>
      <c r="BU68" s="15"/>
      <c r="BV68" s="15"/>
      <c r="BW68" s="15"/>
      <c r="BX68" s="15"/>
      <c r="BY68" s="15"/>
      <c r="BZ68" s="15"/>
      <c r="CA68" s="15"/>
      <c r="CB68" s="15"/>
      <c r="CC68" s="15"/>
      <c r="CD68" s="15"/>
      <c r="CE68" s="15"/>
      <c r="CF68" s="15"/>
      <c r="CG68" s="15"/>
      <c r="CH68" s="15"/>
      <c r="CJ68" t="s">
        <v>33</v>
      </c>
      <c r="CL68" s="8">
        <f>MIN(CL69:CL71)</f>
        <v>46307</v>
      </c>
      <c r="CM68" s="8">
        <f>MAX(CM69:CM71)</f>
        <v>46323</v>
      </c>
    </row>
    <row r="69" spans="1:91" ht="14.25" customHeight="1" x14ac:dyDescent="0.25">
      <c r="A69" s="16" t="s">
        <v>155</v>
      </c>
      <c r="B69" s="17"/>
      <c r="C69" s="18" t="s">
        <v>156</v>
      </c>
      <c r="D69" s="18" t="s">
        <v>85</v>
      </c>
      <c r="E69" s="19">
        <f>IF(OR(CL69="",CM69=""),"",CM69-CL69+1)</f>
        <v>10</v>
      </c>
      <c r="F69" s="20" t="s">
        <v>37</v>
      </c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  <c r="AB69" s="21"/>
      <c r="AC69" s="21"/>
      <c r="AD69" s="21"/>
      <c r="AE69" s="21"/>
      <c r="AF69" s="21"/>
      <c r="AG69" s="21"/>
      <c r="AH69" s="21"/>
      <c r="AI69" s="21"/>
      <c r="AJ69" s="21"/>
      <c r="AK69" s="21"/>
      <c r="AL69" s="21"/>
      <c r="AM69" s="21"/>
      <c r="AN69" s="21"/>
      <c r="AO69" s="21"/>
      <c r="AP69" s="21"/>
      <c r="AQ69" s="21"/>
      <c r="AR69" s="21"/>
      <c r="AS69" s="21"/>
      <c r="AT69" s="21"/>
      <c r="AU69" s="21"/>
      <c r="AV69" s="21"/>
      <c r="AW69" s="21"/>
      <c r="AX69" s="21"/>
      <c r="AY69" s="21"/>
      <c r="AZ69" s="21"/>
      <c r="BA69" s="21"/>
      <c r="BB69" s="21"/>
      <c r="BC69" s="21"/>
      <c r="BD69" s="21"/>
      <c r="BE69" s="21"/>
      <c r="BF69" s="21"/>
      <c r="BG69" s="21"/>
      <c r="BH69" s="21"/>
      <c r="BI69" s="21"/>
      <c r="BJ69" s="21"/>
      <c r="BK69" s="21"/>
      <c r="BL69" s="21"/>
      <c r="BM69" s="21"/>
      <c r="BN69" s="21"/>
      <c r="BO69" s="21"/>
      <c r="BP69" s="21"/>
      <c r="BQ69" s="21"/>
      <c r="BR69" s="21"/>
      <c r="BS69" s="21"/>
      <c r="BT69" s="21"/>
      <c r="BU69" s="21"/>
      <c r="BV69" s="21"/>
      <c r="BW69" s="21"/>
      <c r="BX69" s="21"/>
      <c r="BY69" s="21"/>
      <c r="BZ69" s="21"/>
      <c r="CA69" s="21"/>
      <c r="CB69" s="21"/>
      <c r="CC69" s="21"/>
      <c r="CD69" s="21"/>
      <c r="CE69" s="21"/>
      <c r="CF69" s="21"/>
      <c r="CG69" s="21"/>
      <c r="CH69" s="21"/>
      <c r="CJ69" t="s">
        <v>38</v>
      </c>
      <c r="CL69" s="8">
        <f>IFERROR(IF(TRIM(C69)="","",IF(ISNUMBER(C69),C69,DATE(2026,MATCH(LEFT(MID(TRIM(C69),FIND(" ",TRIM(C69))+1,9),3),Lists!$A$1:$A$12,0),VALUE(LEFT(TRIM(C69),FIND(" ",TRIM(C69))-1))))),"")</f>
        <v>46307</v>
      </c>
      <c r="CM69" s="8">
        <f>IFERROR(IF(TRIM(D69)="","",IF(ISNUMBER(D69),D69,DATE(2026,MATCH(LEFT(MID(TRIM(D69),FIND(" ",TRIM(D69))+1,9),3),Lists!$A$1:$A$12,0),VALUE(LEFT(TRIM(D69),FIND(" ",TRIM(D69))-1))))),"")</f>
        <v>46316</v>
      </c>
    </row>
    <row r="70" spans="1:91" ht="14.25" customHeight="1" x14ac:dyDescent="0.25">
      <c r="A70" s="16" t="s">
        <v>157</v>
      </c>
      <c r="B70" s="17"/>
      <c r="C70" s="18" t="s">
        <v>85</v>
      </c>
      <c r="D70" s="18" t="s">
        <v>82</v>
      </c>
      <c r="E70" s="19">
        <f>IF(OR(CL70="",CM70=""),"",CM70-CL70+1)</f>
        <v>2</v>
      </c>
      <c r="F70" s="20" t="s">
        <v>37</v>
      </c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  <c r="AA70" s="21"/>
      <c r="AB70" s="21"/>
      <c r="AC70" s="21"/>
      <c r="AD70" s="21"/>
      <c r="AE70" s="21"/>
      <c r="AF70" s="21"/>
      <c r="AG70" s="21"/>
      <c r="AH70" s="21"/>
      <c r="AI70" s="21"/>
      <c r="AJ70" s="21"/>
      <c r="AK70" s="21"/>
      <c r="AL70" s="21"/>
      <c r="AM70" s="21"/>
      <c r="AN70" s="21"/>
      <c r="AO70" s="21"/>
      <c r="AP70" s="21"/>
      <c r="AQ70" s="21"/>
      <c r="AR70" s="21"/>
      <c r="AS70" s="21"/>
      <c r="AT70" s="21"/>
      <c r="AU70" s="21"/>
      <c r="AV70" s="21"/>
      <c r="AW70" s="21"/>
      <c r="AX70" s="21"/>
      <c r="AY70" s="21"/>
      <c r="AZ70" s="21"/>
      <c r="BA70" s="21"/>
      <c r="BB70" s="21"/>
      <c r="BC70" s="21"/>
      <c r="BD70" s="21"/>
      <c r="BE70" s="21"/>
      <c r="BF70" s="21"/>
      <c r="BG70" s="21"/>
      <c r="BH70" s="21"/>
      <c r="BI70" s="21"/>
      <c r="BJ70" s="21"/>
      <c r="BK70" s="21"/>
      <c r="BL70" s="21"/>
      <c r="BM70" s="21"/>
      <c r="BN70" s="21"/>
      <c r="BO70" s="21"/>
      <c r="BP70" s="21"/>
      <c r="BQ70" s="21"/>
      <c r="BR70" s="21"/>
      <c r="BS70" s="21"/>
      <c r="BT70" s="21"/>
      <c r="BU70" s="21"/>
      <c r="BV70" s="21"/>
      <c r="BW70" s="21"/>
      <c r="BX70" s="21"/>
      <c r="BY70" s="21"/>
      <c r="BZ70" s="21"/>
      <c r="CA70" s="21"/>
      <c r="CB70" s="21"/>
      <c r="CC70" s="21"/>
      <c r="CD70" s="21"/>
      <c r="CE70" s="21"/>
      <c r="CF70" s="21"/>
      <c r="CG70" s="21"/>
      <c r="CH70" s="21"/>
      <c r="CJ70" t="s">
        <v>38</v>
      </c>
      <c r="CL70" s="8">
        <f>IFERROR(IF(TRIM(C70)="","",IF(ISNUMBER(C70),C70,DATE(2026,MATCH(LEFT(MID(TRIM(C70),FIND(" ",TRIM(C70))+1,9),3),Lists!$A$1:$A$12,0),VALUE(LEFT(TRIM(C70),FIND(" ",TRIM(C70))-1))))),"")</f>
        <v>46316</v>
      </c>
      <c r="CM70" s="8">
        <f>IFERROR(IF(TRIM(D70)="","",IF(ISNUMBER(D70),D70,DATE(2026,MATCH(LEFT(MID(TRIM(D70),FIND(" ",TRIM(D70))+1,9),3),Lists!$A$1:$A$12,0),VALUE(LEFT(TRIM(D70),FIND(" ",TRIM(D70))-1))))),"")</f>
        <v>46317</v>
      </c>
    </row>
    <row r="71" spans="1:91" ht="14.25" customHeight="1" x14ac:dyDescent="0.25">
      <c r="A71" s="16" t="s">
        <v>158</v>
      </c>
      <c r="B71" s="17"/>
      <c r="C71" s="18" t="s">
        <v>134</v>
      </c>
      <c r="D71" s="18" t="s">
        <v>134</v>
      </c>
      <c r="E71" s="19">
        <f>IF(OR(CL71="",CM71=""),"",CM71-CL71+1)</f>
        <v>1</v>
      </c>
      <c r="F71" s="20" t="s">
        <v>37</v>
      </c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  <c r="AC71" s="21"/>
      <c r="AD71" s="21"/>
      <c r="AE71" s="21"/>
      <c r="AF71" s="21"/>
      <c r="AG71" s="21"/>
      <c r="AH71" s="21"/>
      <c r="AI71" s="21"/>
      <c r="AJ71" s="21"/>
      <c r="AK71" s="21"/>
      <c r="AL71" s="21"/>
      <c r="AM71" s="21"/>
      <c r="AN71" s="21"/>
      <c r="AO71" s="21"/>
      <c r="AP71" s="21"/>
      <c r="AQ71" s="21"/>
      <c r="AR71" s="21"/>
      <c r="AS71" s="21"/>
      <c r="AT71" s="21"/>
      <c r="AU71" s="21"/>
      <c r="AV71" s="21"/>
      <c r="AW71" s="21"/>
      <c r="AX71" s="21"/>
      <c r="AY71" s="21"/>
      <c r="AZ71" s="21"/>
      <c r="BA71" s="21"/>
      <c r="BB71" s="21"/>
      <c r="BC71" s="21"/>
      <c r="BD71" s="21"/>
      <c r="BE71" s="21"/>
      <c r="BF71" s="21"/>
      <c r="BG71" s="21"/>
      <c r="BH71" s="21"/>
      <c r="BI71" s="21"/>
      <c r="BJ71" s="21"/>
      <c r="BK71" s="21"/>
      <c r="BL71" s="21"/>
      <c r="BM71" s="21"/>
      <c r="BN71" s="21"/>
      <c r="BO71" s="21"/>
      <c r="BP71" s="21"/>
      <c r="BQ71" s="21"/>
      <c r="BR71" s="21"/>
      <c r="BS71" s="21"/>
      <c r="BT71" s="21"/>
      <c r="BU71" s="21"/>
      <c r="BV71" s="21"/>
      <c r="BW71" s="21"/>
      <c r="BX71" s="21"/>
      <c r="BY71" s="21"/>
      <c r="BZ71" s="21"/>
      <c r="CA71" s="21"/>
      <c r="CB71" s="21"/>
      <c r="CC71" s="21"/>
      <c r="CD71" s="21"/>
      <c r="CE71" s="21"/>
      <c r="CF71" s="21"/>
      <c r="CG71" s="21"/>
      <c r="CH71" s="21"/>
      <c r="CJ71" t="s">
        <v>38</v>
      </c>
      <c r="CL71" s="8">
        <f>IFERROR(IF(TRIM(C71)="","",IF(ISNUMBER(C71),C71,DATE(2026,MATCH(LEFT(MID(TRIM(C71),FIND(" ",TRIM(C71))+1,9),3),Lists!$A$1:$A$12,0),VALUE(LEFT(TRIM(C71),FIND(" ",TRIM(C71))-1))))),"")</f>
        <v>46323</v>
      </c>
      <c r="CM71" s="8">
        <f>IFERROR(IF(TRIM(D71)="","",IF(ISNUMBER(D71),D71,DATE(2026,MATCH(LEFT(MID(TRIM(D71),FIND(" ",TRIM(D71))+1,9),3),Lists!$A$1:$A$12,0),VALUE(LEFT(TRIM(D71),FIND(" ",TRIM(D71))-1))))),"")</f>
        <v>46323</v>
      </c>
    </row>
    <row r="72" spans="1:91" ht="15" customHeight="1" x14ac:dyDescent="0.25">
      <c r="A72" s="13" t="s">
        <v>159</v>
      </c>
      <c r="B72" s="14" t="s">
        <v>147</v>
      </c>
      <c r="C72" s="14" t="str">
        <f>DAY(CL72)&amp;" "&amp;INDEX(Lists!$A$1:$A$12,MONTH(CL72))</f>
        <v>27 Oct</v>
      </c>
      <c r="D72" s="14" t="str">
        <f>DAY(CM72)&amp;" "&amp;INDEX(Lists!$A$1:$A$12,MONTH(CM72))</f>
        <v>10 Nov</v>
      </c>
      <c r="E72" s="14">
        <f>CM72-CL72+1</f>
        <v>15</v>
      </c>
      <c r="F72" s="14" t="str">
        <f>IF(COUNTIF(F73:F76,"Done")=4,"Done",IF(COUNTIF(F73:F76,"Not started")=4,"Not started","In progress"))</f>
        <v>In progress</v>
      </c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5"/>
      <c r="AQ72" s="15"/>
      <c r="AR72" s="15"/>
      <c r="AS72" s="15"/>
      <c r="AT72" s="15"/>
      <c r="AU72" s="15"/>
      <c r="AV72" s="15"/>
      <c r="AW72" s="15"/>
      <c r="AX72" s="15"/>
      <c r="AY72" s="15"/>
      <c r="AZ72" s="15"/>
      <c r="BA72" s="15"/>
      <c r="BB72" s="15"/>
      <c r="BC72" s="15"/>
      <c r="BD72" s="15"/>
      <c r="BE72" s="15"/>
      <c r="BF72" s="15"/>
      <c r="BG72" s="15"/>
      <c r="BH72" s="15"/>
      <c r="BI72" s="15"/>
      <c r="BJ72" s="15"/>
      <c r="BK72" s="15"/>
      <c r="BL72" s="15"/>
      <c r="BM72" s="15"/>
      <c r="BN72" s="15"/>
      <c r="BO72" s="15"/>
      <c r="BP72" s="15"/>
      <c r="BQ72" s="15"/>
      <c r="BR72" s="15"/>
      <c r="BS72" s="15"/>
      <c r="BT72" s="15"/>
      <c r="BU72" s="15"/>
      <c r="BV72" s="15"/>
      <c r="BW72" s="15"/>
      <c r="BX72" s="15"/>
      <c r="BY72" s="15"/>
      <c r="BZ72" s="15"/>
      <c r="CA72" s="15"/>
      <c r="CB72" s="15"/>
      <c r="CC72" s="15"/>
      <c r="CD72" s="15"/>
      <c r="CE72" s="15"/>
      <c r="CF72" s="15"/>
      <c r="CG72" s="15"/>
      <c r="CH72" s="15"/>
      <c r="CJ72" t="s">
        <v>33</v>
      </c>
      <c r="CL72" s="8">
        <f>MIN(CL73:CL76)</f>
        <v>46322</v>
      </c>
      <c r="CM72" s="8">
        <f>MAX(CM73:CM76)</f>
        <v>46336</v>
      </c>
    </row>
    <row r="73" spans="1:91" ht="14.25" customHeight="1" x14ac:dyDescent="0.25">
      <c r="A73" s="16" t="s">
        <v>160</v>
      </c>
      <c r="B73" s="17"/>
      <c r="C73" s="18" t="s">
        <v>90</v>
      </c>
      <c r="D73" s="18" t="s">
        <v>90</v>
      </c>
      <c r="E73" s="19">
        <f>IF(OR(CL73="",CM73=""),"",CM73-CL73+1)</f>
        <v>1</v>
      </c>
      <c r="F73" s="20" t="s">
        <v>37</v>
      </c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  <c r="AA73" s="21"/>
      <c r="AB73" s="21"/>
      <c r="AC73" s="21"/>
      <c r="AD73" s="21"/>
      <c r="AE73" s="21"/>
      <c r="AF73" s="21"/>
      <c r="AG73" s="21"/>
      <c r="AH73" s="21"/>
      <c r="AI73" s="21"/>
      <c r="AJ73" s="21"/>
      <c r="AK73" s="21"/>
      <c r="AL73" s="21"/>
      <c r="AM73" s="21"/>
      <c r="AN73" s="21"/>
      <c r="AO73" s="21"/>
      <c r="AP73" s="21"/>
      <c r="AQ73" s="21"/>
      <c r="AR73" s="21"/>
      <c r="AS73" s="21"/>
      <c r="AT73" s="21"/>
      <c r="AU73" s="21"/>
      <c r="AV73" s="21"/>
      <c r="AW73" s="21"/>
      <c r="AX73" s="21"/>
      <c r="AY73" s="21"/>
      <c r="AZ73" s="21"/>
      <c r="BA73" s="21"/>
      <c r="BB73" s="21"/>
      <c r="BC73" s="21"/>
      <c r="BD73" s="21"/>
      <c r="BE73" s="21"/>
      <c r="BF73" s="21"/>
      <c r="BG73" s="21"/>
      <c r="BH73" s="21"/>
      <c r="BI73" s="21"/>
      <c r="BJ73" s="21"/>
      <c r="BK73" s="21"/>
      <c r="BL73" s="21"/>
      <c r="BM73" s="21"/>
      <c r="BN73" s="21"/>
      <c r="BO73" s="21"/>
      <c r="BP73" s="21"/>
      <c r="BQ73" s="21"/>
      <c r="BR73" s="21"/>
      <c r="BS73" s="21"/>
      <c r="BT73" s="21"/>
      <c r="BU73" s="21"/>
      <c r="BV73" s="21"/>
      <c r="BW73" s="21"/>
      <c r="BX73" s="21"/>
      <c r="BY73" s="21"/>
      <c r="BZ73" s="21"/>
      <c r="CA73" s="21"/>
      <c r="CB73" s="21"/>
      <c r="CC73" s="21"/>
      <c r="CD73" s="21"/>
      <c r="CE73" s="21"/>
      <c r="CF73" s="21"/>
      <c r="CG73" s="21"/>
      <c r="CH73" s="21"/>
      <c r="CJ73" t="s">
        <v>38</v>
      </c>
      <c r="CL73" s="8">
        <f>IFERROR(IF(TRIM(C73)="","",IF(ISNUMBER(C73),C73,DATE(2026,MATCH(LEFT(MID(TRIM(C73),FIND(" ",TRIM(C73))+1,9),3),Lists!$A$1:$A$12,0),VALUE(LEFT(TRIM(C73),FIND(" ",TRIM(C73))-1))))),"")</f>
        <v>46322</v>
      </c>
      <c r="CM73" s="8">
        <f>IFERROR(IF(TRIM(D73)="","",IF(ISNUMBER(D73),D73,DATE(2026,MATCH(LEFT(MID(TRIM(D73),FIND(" ",TRIM(D73))+1,9),3),Lists!$A$1:$A$12,0),VALUE(LEFT(TRIM(D73),FIND(" ",TRIM(D73))-1))))),"")</f>
        <v>46322</v>
      </c>
    </row>
    <row r="74" spans="1:91" ht="14.25" customHeight="1" x14ac:dyDescent="0.25">
      <c r="A74" s="16" t="s">
        <v>161</v>
      </c>
      <c r="B74" s="17"/>
      <c r="C74" s="18" t="s">
        <v>90</v>
      </c>
      <c r="D74" s="18" t="s">
        <v>90</v>
      </c>
      <c r="E74" s="19">
        <f>IF(OR(CL74="",CM74=""),"",CM74-CL74+1)</f>
        <v>1</v>
      </c>
      <c r="F74" s="20" t="s">
        <v>37</v>
      </c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  <c r="AB74" s="21"/>
      <c r="AC74" s="21"/>
      <c r="AD74" s="21"/>
      <c r="AE74" s="21"/>
      <c r="AF74" s="21"/>
      <c r="AG74" s="21"/>
      <c r="AH74" s="21"/>
      <c r="AI74" s="21"/>
      <c r="AJ74" s="21"/>
      <c r="AK74" s="21"/>
      <c r="AL74" s="21"/>
      <c r="AM74" s="21"/>
      <c r="AN74" s="21"/>
      <c r="AO74" s="21"/>
      <c r="AP74" s="21"/>
      <c r="AQ74" s="21"/>
      <c r="AR74" s="21"/>
      <c r="AS74" s="21"/>
      <c r="AT74" s="21"/>
      <c r="AU74" s="21"/>
      <c r="AV74" s="21"/>
      <c r="AW74" s="21"/>
      <c r="AX74" s="21"/>
      <c r="AY74" s="21"/>
      <c r="AZ74" s="21"/>
      <c r="BA74" s="21"/>
      <c r="BB74" s="21"/>
      <c r="BC74" s="21"/>
      <c r="BD74" s="21"/>
      <c r="BE74" s="21"/>
      <c r="BF74" s="21"/>
      <c r="BG74" s="21"/>
      <c r="BH74" s="21"/>
      <c r="BI74" s="21"/>
      <c r="BJ74" s="21"/>
      <c r="BK74" s="21"/>
      <c r="BL74" s="21"/>
      <c r="BM74" s="21"/>
      <c r="BN74" s="21"/>
      <c r="BO74" s="21"/>
      <c r="BP74" s="21"/>
      <c r="BQ74" s="21"/>
      <c r="BR74" s="21"/>
      <c r="BS74" s="21"/>
      <c r="BT74" s="21"/>
      <c r="BU74" s="21"/>
      <c r="BV74" s="21"/>
      <c r="BW74" s="21"/>
      <c r="BX74" s="21"/>
      <c r="BY74" s="21"/>
      <c r="BZ74" s="21"/>
      <c r="CA74" s="21"/>
      <c r="CB74" s="21"/>
      <c r="CC74" s="21"/>
      <c r="CD74" s="21"/>
      <c r="CE74" s="21"/>
      <c r="CF74" s="21"/>
      <c r="CG74" s="21"/>
      <c r="CH74" s="21"/>
      <c r="CJ74" t="s">
        <v>38</v>
      </c>
      <c r="CL74" s="8">
        <f>IFERROR(IF(TRIM(C74)="","",IF(ISNUMBER(C74),C74,DATE(2026,MATCH(LEFT(MID(TRIM(C74),FIND(" ",TRIM(C74))+1,9),3),Lists!$A$1:$A$12,0),VALUE(LEFT(TRIM(C74),FIND(" ",TRIM(C74))-1))))),"")</f>
        <v>46322</v>
      </c>
      <c r="CM74" s="8">
        <f>IFERROR(IF(TRIM(D74)="","",IF(ISNUMBER(D74),D74,DATE(2026,MATCH(LEFT(MID(TRIM(D74),FIND(" ",TRIM(D74))+1,9),3),Lists!$A$1:$A$12,0),VALUE(LEFT(TRIM(D74),FIND(" ",TRIM(D74))-1))))),"")</f>
        <v>46322</v>
      </c>
    </row>
    <row r="75" spans="1:91" ht="14.25" customHeight="1" x14ac:dyDescent="0.25">
      <c r="A75" s="16" t="s">
        <v>162</v>
      </c>
      <c r="B75" s="17"/>
      <c r="C75" s="18" t="s">
        <v>163</v>
      </c>
      <c r="D75" s="18" t="s">
        <v>163</v>
      </c>
      <c r="E75" s="19">
        <f>IF(OR(CL75="",CM75=""),"",CM75-CL75+1)</f>
        <v>1</v>
      </c>
      <c r="F75" s="20" t="s">
        <v>37</v>
      </c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  <c r="AB75" s="21"/>
      <c r="AC75" s="21"/>
      <c r="AD75" s="21"/>
      <c r="AE75" s="21"/>
      <c r="AF75" s="21"/>
      <c r="AG75" s="21"/>
      <c r="AH75" s="21"/>
      <c r="AI75" s="21"/>
      <c r="AJ75" s="21"/>
      <c r="AK75" s="21"/>
      <c r="AL75" s="21"/>
      <c r="AM75" s="21"/>
      <c r="AN75" s="21"/>
      <c r="AO75" s="21"/>
      <c r="AP75" s="21"/>
      <c r="AQ75" s="21"/>
      <c r="AR75" s="21"/>
      <c r="AS75" s="21"/>
      <c r="AT75" s="21"/>
      <c r="AU75" s="21"/>
      <c r="AV75" s="21"/>
      <c r="AW75" s="21"/>
      <c r="AX75" s="21"/>
      <c r="AY75" s="21"/>
      <c r="AZ75" s="21"/>
      <c r="BA75" s="21"/>
      <c r="BB75" s="21"/>
      <c r="BC75" s="21"/>
      <c r="BD75" s="21"/>
      <c r="BE75" s="21"/>
      <c r="BF75" s="21"/>
      <c r="BG75" s="21"/>
      <c r="BH75" s="21"/>
      <c r="BI75" s="21"/>
      <c r="BJ75" s="21"/>
      <c r="BK75" s="21"/>
      <c r="BL75" s="21"/>
      <c r="BM75" s="21"/>
      <c r="BN75" s="21"/>
      <c r="BO75" s="21"/>
      <c r="BP75" s="21"/>
      <c r="BQ75" s="21"/>
      <c r="BR75" s="21"/>
      <c r="BS75" s="21"/>
      <c r="BT75" s="21"/>
      <c r="BU75" s="21"/>
      <c r="BV75" s="21"/>
      <c r="BW75" s="21"/>
      <c r="BX75" s="21"/>
      <c r="BY75" s="21"/>
      <c r="BZ75" s="21"/>
      <c r="CA75" s="21"/>
      <c r="CB75" s="21"/>
      <c r="CC75" s="21"/>
      <c r="CD75" s="21"/>
      <c r="CE75" s="21"/>
      <c r="CF75" s="21"/>
      <c r="CG75" s="21"/>
      <c r="CH75" s="21"/>
      <c r="CJ75" t="s">
        <v>38</v>
      </c>
      <c r="CL75" s="8">
        <f>IFERROR(IF(TRIM(C75)="","",IF(ISNUMBER(C75),C75,DATE(2026,MATCH(LEFT(MID(TRIM(C75),FIND(" ",TRIM(C75))+1,9),3),Lists!$A$1:$A$12,0),VALUE(LEFT(TRIM(C75),FIND(" ",TRIM(C75))-1))))),"")</f>
        <v>46326</v>
      </c>
      <c r="CM75" s="8">
        <f>IFERROR(IF(TRIM(D75)="","",IF(ISNUMBER(D75),D75,DATE(2026,MATCH(LEFT(MID(TRIM(D75),FIND(" ",TRIM(D75))+1,9),3),Lists!$A$1:$A$12,0),VALUE(LEFT(TRIM(D75),FIND(" ",TRIM(D75))-1))))),"")</f>
        <v>46326</v>
      </c>
    </row>
    <row r="76" spans="1:91" ht="14.25" customHeight="1" x14ac:dyDescent="0.25">
      <c r="A76" s="16" t="s">
        <v>164</v>
      </c>
      <c r="B76" s="17"/>
      <c r="C76" s="18" t="s">
        <v>165</v>
      </c>
      <c r="D76" s="18" t="s">
        <v>101</v>
      </c>
      <c r="E76" s="19">
        <f>IF(OR(CL76="",CM76=""),"",CM76-CL76+1)</f>
        <v>8</v>
      </c>
      <c r="F76" s="20" t="s">
        <v>62</v>
      </c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  <c r="AC76" s="21"/>
      <c r="AD76" s="21"/>
      <c r="AE76" s="21"/>
      <c r="AF76" s="21"/>
      <c r="AG76" s="21"/>
      <c r="AH76" s="21"/>
      <c r="AI76" s="21"/>
      <c r="AJ76" s="21"/>
      <c r="AK76" s="21"/>
      <c r="AL76" s="21"/>
      <c r="AM76" s="21"/>
      <c r="AN76" s="21"/>
      <c r="AO76" s="21"/>
      <c r="AP76" s="21"/>
      <c r="AQ76" s="21"/>
      <c r="AR76" s="21"/>
      <c r="AS76" s="21"/>
      <c r="AT76" s="21"/>
      <c r="AU76" s="21"/>
      <c r="AV76" s="21"/>
      <c r="AW76" s="21"/>
      <c r="AX76" s="21"/>
      <c r="AY76" s="21"/>
      <c r="AZ76" s="21"/>
      <c r="BA76" s="21"/>
      <c r="BB76" s="21"/>
      <c r="BC76" s="21"/>
      <c r="BD76" s="21"/>
      <c r="BE76" s="21"/>
      <c r="BF76" s="21"/>
      <c r="BG76" s="21"/>
      <c r="BH76" s="21"/>
      <c r="BI76" s="21"/>
      <c r="BJ76" s="21"/>
      <c r="BK76" s="21"/>
      <c r="BL76" s="21"/>
      <c r="BM76" s="21"/>
      <c r="BN76" s="21"/>
      <c r="BO76" s="21"/>
      <c r="BP76" s="21"/>
      <c r="BQ76" s="21"/>
      <c r="BR76" s="21"/>
      <c r="BS76" s="21"/>
      <c r="BT76" s="21"/>
      <c r="BU76" s="21"/>
      <c r="BV76" s="21"/>
      <c r="BW76" s="21"/>
      <c r="BX76" s="21"/>
      <c r="BY76" s="21"/>
      <c r="BZ76" s="21"/>
      <c r="CA76" s="21"/>
      <c r="CB76" s="21"/>
      <c r="CC76" s="21"/>
      <c r="CD76" s="21"/>
      <c r="CE76" s="21"/>
      <c r="CF76" s="21"/>
      <c r="CG76" s="21"/>
      <c r="CH76" s="21"/>
      <c r="CJ76" t="s">
        <v>38</v>
      </c>
      <c r="CL76" s="8">
        <f>IFERROR(IF(TRIM(C76)="","",IF(ISNUMBER(C76),C76,DATE(2026,MATCH(LEFT(MID(TRIM(C76),FIND(" ",TRIM(C76))+1,9),3),Lists!$A$1:$A$12,0),VALUE(LEFT(TRIM(C76),FIND(" ",TRIM(C76))-1))))),"")</f>
        <v>46329</v>
      </c>
      <c r="CM76" s="8">
        <f>IFERROR(IF(TRIM(D76)="","",IF(ISNUMBER(D76),D76,DATE(2026,MATCH(LEFT(MID(TRIM(D76),FIND(" ",TRIM(D76))+1,9),3),Lists!$A$1:$A$12,0),VALUE(LEFT(TRIM(D76),FIND(" ",TRIM(D76))-1))))),"")</f>
        <v>46336</v>
      </c>
    </row>
    <row r="77" spans="1:91" ht="15" customHeight="1" x14ac:dyDescent="0.25">
      <c r="A77" s="13" t="s">
        <v>166</v>
      </c>
      <c r="B77" s="14" t="s">
        <v>147</v>
      </c>
      <c r="C77" s="14" t="str">
        <f>DAY(CL77)&amp;" "&amp;INDEX(Lists!$A$1:$A$12,MONTH(CL77))</f>
        <v>2 Nov</v>
      </c>
      <c r="D77" s="14" t="str">
        <f>DAY(CM77)&amp;" "&amp;INDEX(Lists!$A$1:$A$12,MONTH(CM77))</f>
        <v>13 Nov</v>
      </c>
      <c r="E77" s="14">
        <f>CM77-CL77+1</f>
        <v>12</v>
      </c>
      <c r="F77" s="14" t="str">
        <f>IF(COUNTIF(F78:F80,"Done")=3,"Done",IF(COUNTIF(F78:F80,"Not started")=3,"Not started","In progress"))</f>
        <v>Not started</v>
      </c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5"/>
      <c r="AH77" s="15"/>
      <c r="AI77" s="15"/>
      <c r="AJ77" s="15"/>
      <c r="AK77" s="15"/>
      <c r="AL77" s="15"/>
      <c r="AM77" s="15"/>
      <c r="AN77" s="15"/>
      <c r="AO77" s="15"/>
      <c r="AP77" s="15"/>
      <c r="AQ77" s="15"/>
      <c r="AR77" s="15"/>
      <c r="AS77" s="15"/>
      <c r="AT77" s="15"/>
      <c r="AU77" s="15"/>
      <c r="AV77" s="15"/>
      <c r="AW77" s="15"/>
      <c r="AX77" s="15"/>
      <c r="AY77" s="15"/>
      <c r="AZ77" s="15"/>
      <c r="BA77" s="15"/>
      <c r="BB77" s="15"/>
      <c r="BC77" s="15"/>
      <c r="BD77" s="15"/>
      <c r="BE77" s="15"/>
      <c r="BF77" s="15"/>
      <c r="BG77" s="15"/>
      <c r="BH77" s="15"/>
      <c r="BI77" s="15"/>
      <c r="BJ77" s="15"/>
      <c r="BK77" s="15"/>
      <c r="BL77" s="15"/>
      <c r="BM77" s="15"/>
      <c r="BN77" s="15"/>
      <c r="BO77" s="15"/>
      <c r="BP77" s="15"/>
      <c r="BQ77" s="15"/>
      <c r="BR77" s="15"/>
      <c r="BS77" s="15"/>
      <c r="BT77" s="15"/>
      <c r="BU77" s="15"/>
      <c r="BV77" s="15"/>
      <c r="BW77" s="15"/>
      <c r="BX77" s="15"/>
      <c r="BY77" s="15"/>
      <c r="BZ77" s="15"/>
      <c r="CA77" s="15"/>
      <c r="CB77" s="15"/>
      <c r="CC77" s="15"/>
      <c r="CD77" s="15"/>
      <c r="CE77" s="15"/>
      <c r="CF77" s="15"/>
      <c r="CG77" s="15"/>
      <c r="CH77" s="15"/>
      <c r="CJ77" t="s">
        <v>33</v>
      </c>
      <c r="CL77" s="8">
        <f>MIN(CL78:CL80)</f>
        <v>46328</v>
      </c>
      <c r="CM77" s="8">
        <f>MAX(CM78:CM80)</f>
        <v>46339</v>
      </c>
    </row>
    <row r="78" spans="1:91" ht="14.25" customHeight="1" x14ac:dyDescent="0.25">
      <c r="A78" s="16" t="s">
        <v>167</v>
      </c>
      <c r="B78" s="17"/>
      <c r="C78" s="18" t="s">
        <v>60</v>
      </c>
      <c r="D78" s="18" t="s">
        <v>95</v>
      </c>
      <c r="E78" s="19">
        <f>IF(OR(CL78="",CM78=""),"",CM78-CL78+1)</f>
        <v>8</v>
      </c>
      <c r="F78" s="20" t="s">
        <v>62</v>
      </c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  <c r="AB78" s="21"/>
      <c r="AC78" s="21"/>
      <c r="AD78" s="21"/>
      <c r="AE78" s="21"/>
      <c r="AF78" s="21"/>
      <c r="AG78" s="21"/>
      <c r="AH78" s="21"/>
      <c r="AI78" s="21"/>
      <c r="AJ78" s="21"/>
      <c r="AK78" s="21"/>
      <c r="AL78" s="21"/>
      <c r="AM78" s="21"/>
      <c r="AN78" s="21"/>
      <c r="AO78" s="21"/>
      <c r="AP78" s="21"/>
      <c r="AQ78" s="21"/>
      <c r="AR78" s="21"/>
      <c r="AS78" s="21"/>
      <c r="AT78" s="21"/>
      <c r="AU78" s="21"/>
      <c r="AV78" s="21"/>
      <c r="AW78" s="21"/>
      <c r="AX78" s="21"/>
      <c r="AY78" s="21"/>
      <c r="AZ78" s="21"/>
      <c r="BA78" s="21"/>
      <c r="BB78" s="21"/>
      <c r="BC78" s="21"/>
      <c r="BD78" s="21"/>
      <c r="BE78" s="21"/>
      <c r="BF78" s="21"/>
      <c r="BG78" s="21"/>
      <c r="BH78" s="21"/>
      <c r="BI78" s="21"/>
      <c r="BJ78" s="21"/>
      <c r="BK78" s="21"/>
      <c r="BL78" s="21"/>
      <c r="BM78" s="21"/>
      <c r="BN78" s="21"/>
      <c r="BO78" s="21"/>
      <c r="BP78" s="21"/>
      <c r="BQ78" s="21"/>
      <c r="BR78" s="21"/>
      <c r="BS78" s="21"/>
      <c r="BT78" s="21"/>
      <c r="BU78" s="21"/>
      <c r="BV78" s="21"/>
      <c r="BW78" s="21"/>
      <c r="BX78" s="21"/>
      <c r="BY78" s="21"/>
      <c r="BZ78" s="21"/>
      <c r="CA78" s="21"/>
      <c r="CB78" s="21"/>
      <c r="CC78" s="21"/>
      <c r="CD78" s="21"/>
      <c r="CE78" s="21"/>
      <c r="CF78" s="21"/>
      <c r="CG78" s="21"/>
      <c r="CH78" s="21"/>
      <c r="CJ78" t="s">
        <v>38</v>
      </c>
      <c r="CL78" s="8">
        <f>IFERROR(IF(TRIM(C78)="","",IF(ISNUMBER(C78),C78,DATE(2026,MATCH(LEFT(MID(TRIM(C78),FIND(" ",TRIM(C78))+1,9),3),Lists!$A$1:$A$12,0),VALUE(LEFT(TRIM(C78),FIND(" ",TRIM(C78))-1))))),"")</f>
        <v>46328</v>
      </c>
      <c r="CM78" s="8">
        <f>IFERROR(IF(TRIM(D78)="","",IF(ISNUMBER(D78),D78,DATE(2026,MATCH(LEFT(MID(TRIM(D78),FIND(" ",TRIM(D78))+1,9),3),Lists!$A$1:$A$12,0),VALUE(LEFT(TRIM(D78),FIND(" ",TRIM(D78))-1))))),"")</f>
        <v>46335</v>
      </c>
    </row>
    <row r="79" spans="1:91" ht="14.25" customHeight="1" x14ac:dyDescent="0.25">
      <c r="A79" s="16" t="s">
        <v>168</v>
      </c>
      <c r="B79" s="17"/>
      <c r="C79" s="18" t="s">
        <v>169</v>
      </c>
      <c r="D79" s="18" t="s">
        <v>122</v>
      </c>
      <c r="E79" s="19">
        <f>IF(OR(CL79="",CM79=""),"",CM79-CL79+1)</f>
        <v>9</v>
      </c>
      <c r="F79" s="20" t="s">
        <v>62</v>
      </c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  <c r="AB79" s="21"/>
      <c r="AC79" s="21"/>
      <c r="AD79" s="21"/>
      <c r="AE79" s="21"/>
      <c r="AF79" s="21"/>
      <c r="AG79" s="21"/>
      <c r="AH79" s="21"/>
      <c r="AI79" s="21"/>
      <c r="AJ79" s="21"/>
      <c r="AK79" s="21"/>
      <c r="AL79" s="21"/>
      <c r="AM79" s="21"/>
      <c r="AN79" s="21"/>
      <c r="AO79" s="21"/>
      <c r="AP79" s="21"/>
      <c r="AQ79" s="21"/>
      <c r="AR79" s="21"/>
      <c r="AS79" s="21"/>
      <c r="AT79" s="21"/>
      <c r="AU79" s="21"/>
      <c r="AV79" s="21"/>
      <c r="AW79" s="21"/>
      <c r="AX79" s="21"/>
      <c r="AY79" s="21"/>
      <c r="AZ79" s="21"/>
      <c r="BA79" s="21"/>
      <c r="BB79" s="21"/>
      <c r="BC79" s="21"/>
      <c r="BD79" s="21"/>
      <c r="BE79" s="21"/>
      <c r="BF79" s="21"/>
      <c r="BG79" s="21"/>
      <c r="BH79" s="21"/>
      <c r="BI79" s="21"/>
      <c r="BJ79" s="21"/>
      <c r="BK79" s="21"/>
      <c r="BL79" s="21"/>
      <c r="BM79" s="21"/>
      <c r="BN79" s="21"/>
      <c r="BO79" s="21"/>
      <c r="BP79" s="21"/>
      <c r="BQ79" s="21"/>
      <c r="BR79" s="21"/>
      <c r="BS79" s="21"/>
      <c r="BT79" s="21"/>
      <c r="BU79" s="21"/>
      <c r="BV79" s="21"/>
      <c r="BW79" s="21"/>
      <c r="BX79" s="21"/>
      <c r="BY79" s="21"/>
      <c r="BZ79" s="21"/>
      <c r="CA79" s="21"/>
      <c r="CB79" s="21"/>
      <c r="CC79" s="21"/>
      <c r="CD79" s="21"/>
      <c r="CE79" s="21"/>
      <c r="CF79" s="21"/>
      <c r="CG79" s="21"/>
      <c r="CH79" s="21"/>
      <c r="CJ79" t="s">
        <v>38</v>
      </c>
      <c r="CL79" s="8">
        <f>IFERROR(IF(TRIM(C79)="","",IF(ISNUMBER(C79),C79,DATE(2026,MATCH(LEFT(MID(TRIM(C79),FIND(" ",TRIM(C79))+1,9),3),Lists!$A$1:$A$12,0),VALUE(LEFT(TRIM(C79),FIND(" ",TRIM(C79))-1))))),"")</f>
        <v>46331</v>
      </c>
      <c r="CM79" s="8">
        <f>IFERROR(IF(TRIM(D79)="","",IF(ISNUMBER(D79),D79,DATE(2026,MATCH(LEFT(MID(TRIM(D79),FIND(" ",TRIM(D79))+1,9),3),Lists!$A$1:$A$12,0),VALUE(LEFT(TRIM(D79),FIND(" ",TRIM(D79))-1))))),"")</f>
        <v>46339</v>
      </c>
    </row>
    <row r="80" spans="1:91" ht="14.25" customHeight="1" x14ac:dyDescent="0.25">
      <c r="A80" s="16" t="s">
        <v>170</v>
      </c>
      <c r="B80" s="17"/>
      <c r="C80" s="18" t="s">
        <v>60</v>
      </c>
      <c r="D80" s="18" t="s">
        <v>122</v>
      </c>
      <c r="E80" s="19">
        <f>IF(OR(CL80="",CM80=""),"",CM80-CL80+1)</f>
        <v>12</v>
      </c>
      <c r="F80" s="20" t="s">
        <v>62</v>
      </c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  <c r="AB80" s="21"/>
      <c r="AC80" s="21"/>
      <c r="AD80" s="21"/>
      <c r="AE80" s="21"/>
      <c r="AF80" s="21"/>
      <c r="AG80" s="21"/>
      <c r="AH80" s="21"/>
      <c r="AI80" s="21"/>
      <c r="AJ80" s="21"/>
      <c r="AK80" s="21"/>
      <c r="AL80" s="21"/>
      <c r="AM80" s="21"/>
      <c r="AN80" s="21"/>
      <c r="AO80" s="21"/>
      <c r="AP80" s="21"/>
      <c r="AQ80" s="21"/>
      <c r="AR80" s="21"/>
      <c r="AS80" s="21"/>
      <c r="AT80" s="21"/>
      <c r="AU80" s="21"/>
      <c r="AV80" s="21"/>
      <c r="AW80" s="21"/>
      <c r="AX80" s="21"/>
      <c r="AY80" s="21"/>
      <c r="AZ80" s="21"/>
      <c r="BA80" s="21"/>
      <c r="BB80" s="21"/>
      <c r="BC80" s="21"/>
      <c r="BD80" s="21"/>
      <c r="BE80" s="21"/>
      <c r="BF80" s="21"/>
      <c r="BG80" s="21"/>
      <c r="BH80" s="21"/>
      <c r="BI80" s="21"/>
      <c r="BJ80" s="21"/>
      <c r="BK80" s="21"/>
      <c r="BL80" s="21"/>
      <c r="BM80" s="21"/>
      <c r="BN80" s="21"/>
      <c r="BO80" s="21"/>
      <c r="BP80" s="21"/>
      <c r="BQ80" s="21"/>
      <c r="BR80" s="21"/>
      <c r="BS80" s="21"/>
      <c r="BT80" s="21"/>
      <c r="BU80" s="21"/>
      <c r="BV80" s="21"/>
      <c r="BW80" s="21"/>
      <c r="BX80" s="21"/>
      <c r="BY80" s="21"/>
      <c r="BZ80" s="21"/>
      <c r="CA80" s="21"/>
      <c r="CB80" s="21"/>
      <c r="CC80" s="21"/>
      <c r="CD80" s="21"/>
      <c r="CE80" s="21"/>
      <c r="CF80" s="21"/>
      <c r="CG80" s="21"/>
      <c r="CH80" s="21"/>
      <c r="CJ80" t="s">
        <v>38</v>
      </c>
      <c r="CL80" s="8">
        <f>IFERROR(IF(TRIM(C80)="","",IF(ISNUMBER(C80),C80,DATE(2026,MATCH(LEFT(MID(TRIM(C80),FIND(" ",TRIM(C80))+1,9),3),Lists!$A$1:$A$12,0),VALUE(LEFT(TRIM(C80),FIND(" ",TRIM(C80))-1))))),"")</f>
        <v>46328</v>
      </c>
      <c r="CM80" s="8">
        <f>IFERROR(IF(TRIM(D80)="","",IF(ISNUMBER(D80),D80,DATE(2026,MATCH(LEFT(MID(TRIM(D80),FIND(" ",TRIM(D80))+1,9),3),Lists!$A$1:$A$12,0),VALUE(LEFT(TRIM(D80),FIND(" ",TRIM(D80))-1))))),"")</f>
        <v>46339</v>
      </c>
    </row>
    <row r="81" spans="1:91" ht="15" customHeight="1" x14ac:dyDescent="0.25">
      <c r="A81" s="13" t="s">
        <v>171</v>
      </c>
      <c r="B81" s="14" t="s">
        <v>147</v>
      </c>
      <c r="C81" s="14" t="str">
        <f>DAY(CL81)&amp;" "&amp;INDEX(Lists!$A$1:$A$12,MONTH(CL81))</f>
        <v>10 Nov</v>
      </c>
      <c r="D81" s="14" t="str">
        <f>DAY(CM81)&amp;" "&amp;INDEX(Lists!$A$1:$A$12,MONTH(CM81))</f>
        <v>14 Nov</v>
      </c>
      <c r="E81" s="14">
        <f>CM81-CL81+1</f>
        <v>5</v>
      </c>
      <c r="F81" s="14" t="str">
        <f>IF(COUNTIF(F82:F82,"Done")=1,"Done",IF(COUNTIF(F82:F82,"Not started")=1,"Not started","In progress"))</f>
        <v>Not started</v>
      </c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  <c r="AH81" s="15"/>
      <c r="AI81" s="15"/>
      <c r="AJ81" s="15"/>
      <c r="AK81" s="15"/>
      <c r="AL81" s="15"/>
      <c r="AM81" s="15"/>
      <c r="AN81" s="15"/>
      <c r="AO81" s="15"/>
      <c r="AP81" s="15"/>
      <c r="AQ81" s="15"/>
      <c r="AR81" s="15"/>
      <c r="AS81" s="15"/>
      <c r="AT81" s="15"/>
      <c r="AU81" s="15"/>
      <c r="AV81" s="15"/>
      <c r="AW81" s="15"/>
      <c r="AX81" s="15"/>
      <c r="AY81" s="15"/>
      <c r="AZ81" s="15"/>
      <c r="BA81" s="15"/>
      <c r="BB81" s="15"/>
      <c r="BC81" s="15"/>
      <c r="BD81" s="15"/>
      <c r="BE81" s="15"/>
      <c r="BF81" s="15"/>
      <c r="BG81" s="15"/>
      <c r="BH81" s="15"/>
      <c r="BI81" s="15"/>
      <c r="BJ81" s="15"/>
      <c r="BK81" s="15"/>
      <c r="BL81" s="15"/>
      <c r="BM81" s="15"/>
      <c r="BN81" s="15"/>
      <c r="BO81" s="15"/>
      <c r="BP81" s="15"/>
      <c r="BQ81" s="15"/>
      <c r="BR81" s="15"/>
      <c r="BS81" s="15"/>
      <c r="BT81" s="15"/>
      <c r="BU81" s="15"/>
      <c r="BV81" s="15"/>
      <c r="BW81" s="15"/>
      <c r="BX81" s="15"/>
      <c r="BY81" s="15"/>
      <c r="BZ81" s="15"/>
      <c r="CA81" s="15"/>
      <c r="CB81" s="15"/>
      <c r="CC81" s="15"/>
      <c r="CD81" s="15"/>
      <c r="CE81" s="15"/>
      <c r="CF81" s="15"/>
      <c r="CG81" s="15"/>
      <c r="CH81" s="15"/>
      <c r="CJ81" t="s">
        <v>33</v>
      </c>
      <c r="CL81" s="8">
        <f>MIN(CL82:CL82)</f>
        <v>46336</v>
      </c>
      <c r="CM81" s="8">
        <f>MAX(CM82:CM82)</f>
        <v>46340</v>
      </c>
    </row>
    <row r="82" spans="1:91" ht="14.25" customHeight="1" x14ac:dyDescent="0.25">
      <c r="A82" s="16" t="s">
        <v>172</v>
      </c>
      <c r="B82" s="17"/>
      <c r="C82" s="18" t="s">
        <v>101</v>
      </c>
      <c r="D82" s="18" t="s">
        <v>131</v>
      </c>
      <c r="E82" s="19">
        <f>IF(OR(CL82="",CM82=""),"",CM82-CL82+1)</f>
        <v>5</v>
      </c>
      <c r="F82" s="20" t="s">
        <v>62</v>
      </c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  <c r="AB82" s="21"/>
      <c r="AC82" s="21"/>
      <c r="AD82" s="21"/>
      <c r="AE82" s="21"/>
      <c r="AF82" s="21"/>
      <c r="AG82" s="21"/>
      <c r="AH82" s="21"/>
      <c r="AI82" s="21"/>
      <c r="AJ82" s="21"/>
      <c r="AK82" s="21"/>
      <c r="AL82" s="21"/>
      <c r="AM82" s="21"/>
      <c r="AN82" s="21"/>
      <c r="AO82" s="21"/>
      <c r="AP82" s="21"/>
      <c r="AQ82" s="21"/>
      <c r="AR82" s="21"/>
      <c r="AS82" s="21"/>
      <c r="AT82" s="21"/>
      <c r="AU82" s="21"/>
      <c r="AV82" s="21"/>
      <c r="AW82" s="21"/>
      <c r="AX82" s="21"/>
      <c r="AY82" s="21"/>
      <c r="AZ82" s="21"/>
      <c r="BA82" s="21"/>
      <c r="BB82" s="21"/>
      <c r="BC82" s="21"/>
      <c r="BD82" s="21"/>
      <c r="BE82" s="21"/>
      <c r="BF82" s="21"/>
      <c r="BG82" s="21"/>
      <c r="BH82" s="21"/>
      <c r="BI82" s="21"/>
      <c r="BJ82" s="21"/>
      <c r="BK82" s="21"/>
      <c r="BL82" s="21"/>
      <c r="BM82" s="21"/>
      <c r="BN82" s="21"/>
      <c r="BO82" s="21"/>
      <c r="BP82" s="21"/>
      <c r="BQ82" s="21"/>
      <c r="BR82" s="21"/>
      <c r="BS82" s="21"/>
      <c r="BT82" s="21"/>
      <c r="BU82" s="21"/>
      <c r="BV82" s="21"/>
      <c r="BW82" s="21"/>
      <c r="BX82" s="21"/>
      <c r="BY82" s="21"/>
      <c r="BZ82" s="21"/>
      <c r="CA82" s="21"/>
      <c r="CB82" s="21"/>
      <c r="CC82" s="21"/>
      <c r="CD82" s="21"/>
      <c r="CE82" s="21"/>
      <c r="CF82" s="21"/>
      <c r="CG82" s="21"/>
      <c r="CH82" s="21"/>
      <c r="CJ82" t="s">
        <v>38</v>
      </c>
      <c r="CK82" t="s">
        <v>173</v>
      </c>
      <c r="CL82" s="8">
        <f>IFERROR(IF(TRIM(C82)="","",IF(ISNUMBER(C82),C82,DATE(2026,MATCH(LEFT(MID(TRIM(C82),FIND(" ",TRIM(C82))+1,9),3),Lists!$A$1:$A$12,0),VALUE(LEFT(TRIM(C82),FIND(" ",TRIM(C82))-1))))),"")</f>
        <v>46336</v>
      </c>
      <c r="CM82" s="8">
        <f>IFERROR(IF(TRIM(D82)="","",IF(ISNUMBER(D82),D82,DATE(2026,MATCH(LEFT(MID(TRIM(D82),FIND(" ",TRIM(D82))+1,9),3),Lists!$A$1:$A$12,0),VALUE(LEFT(TRIM(D82),FIND(" ",TRIM(D82))-1))))),"")</f>
        <v>46340</v>
      </c>
    </row>
    <row r="83" spans="1:91" ht="15" customHeight="1" x14ac:dyDescent="0.25">
      <c r="A83" s="22" t="s">
        <v>174</v>
      </c>
      <c r="B83" s="23"/>
      <c r="C83" s="23"/>
      <c r="D83" s="23"/>
      <c r="E83" s="23"/>
      <c r="F83" s="23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5"/>
      <c r="AH83" s="15"/>
      <c r="AI83" s="15"/>
      <c r="AJ83" s="15"/>
      <c r="AK83" s="15"/>
      <c r="AL83" s="15"/>
      <c r="AM83" s="15"/>
      <c r="AN83" s="15"/>
      <c r="AO83" s="15"/>
      <c r="AP83" s="15"/>
      <c r="AQ83" s="15"/>
      <c r="AR83" s="15"/>
      <c r="AS83" s="15"/>
      <c r="AT83" s="15"/>
      <c r="AU83" s="15"/>
      <c r="AV83" s="15"/>
      <c r="AW83" s="15"/>
      <c r="AX83" s="15"/>
      <c r="AY83" s="15"/>
      <c r="AZ83" s="15"/>
      <c r="BA83" s="15"/>
      <c r="BB83" s="15"/>
      <c r="BC83" s="15"/>
      <c r="BD83" s="15"/>
      <c r="BE83" s="15"/>
      <c r="BF83" s="15"/>
      <c r="BG83" s="15"/>
      <c r="BH83" s="15"/>
      <c r="BI83" s="15"/>
      <c r="BJ83" s="15"/>
      <c r="BK83" s="15"/>
      <c r="BL83" s="15"/>
      <c r="BM83" s="15"/>
      <c r="BN83" s="15"/>
      <c r="BO83" s="15"/>
      <c r="BP83" s="15"/>
      <c r="BQ83" s="15"/>
      <c r="BR83" s="15"/>
      <c r="BS83" s="15"/>
      <c r="BT83" s="15"/>
      <c r="BU83" s="15"/>
      <c r="BV83" s="15"/>
      <c r="BW83" s="15"/>
      <c r="BX83" s="15"/>
      <c r="BY83" s="15"/>
      <c r="BZ83" s="15"/>
      <c r="CA83" s="15"/>
      <c r="CB83" s="15"/>
      <c r="CC83" s="15"/>
      <c r="CD83" s="15"/>
      <c r="CE83" s="15"/>
      <c r="CF83" s="15"/>
      <c r="CG83" s="15"/>
      <c r="CH83" s="15"/>
      <c r="CJ83" t="s">
        <v>175</v>
      </c>
      <c r="CL83" s="8"/>
      <c r="CM83" s="8"/>
    </row>
    <row r="84" spans="1:91" ht="14.25" customHeight="1" x14ac:dyDescent="0.25">
      <c r="A84" s="24" t="s">
        <v>176</v>
      </c>
      <c r="B84" s="17"/>
      <c r="C84" s="18" t="s">
        <v>177</v>
      </c>
      <c r="D84" s="19" t="str">
        <f>IF(CL84="","",DAY(CL84)&amp;" "&amp;INDEX(Lists!$A$1:$A$12,MONTH(CL84)))</f>
        <v>23 Sep</v>
      </c>
      <c r="E84" s="19">
        <v>0</v>
      </c>
      <c r="F84" s="20" t="s">
        <v>37</v>
      </c>
      <c r="G84" s="25" t="str">
        <f t="shared" ref="G84:P92" si="2">IF(G$5=$CL84,"◆","")</f>
        <v/>
      </c>
      <c r="H84" s="25" t="str">
        <f t="shared" si="2"/>
        <v/>
      </c>
      <c r="I84" s="25" t="str">
        <f t="shared" si="2"/>
        <v/>
      </c>
      <c r="J84" s="25" t="str">
        <f t="shared" si="2"/>
        <v/>
      </c>
      <c r="K84" s="25" t="str">
        <f t="shared" si="2"/>
        <v/>
      </c>
      <c r="L84" s="25" t="str">
        <f t="shared" si="2"/>
        <v/>
      </c>
      <c r="M84" s="25" t="str">
        <f t="shared" si="2"/>
        <v/>
      </c>
      <c r="N84" s="25" t="str">
        <f t="shared" si="2"/>
        <v/>
      </c>
      <c r="O84" s="25" t="str">
        <f t="shared" si="2"/>
        <v/>
      </c>
      <c r="P84" s="25" t="str">
        <f t="shared" si="2"/>
        <v>◆</v>
      </c>
      <c r="Q84" s="25" t="str">
        <f t="shared" ref="Q84:Z92" si="3">IF(Q$5=$CL84,"◆","")</f>
        <v/>
      </c>
      <c r="R84" s="25" t="str">
        <f t="shared" si="3"/>
        <v/>
      </c>
      <c r="S84" s="25" t="str">
        <f t="shared" si="3"/>
        <v/>
      </c>
      <c r="T84" s="25" t="str">
        <f t="shared" si="3"/>
        <v/>
      </c>
      <c r="U84" s="25" t="str">
        <f t="shared" si="3"/>
        <v/>
      </c>
      <c r="V84" s="25" t="str">
        <f t="shared" si="3"/>
        <v/>
      </c>
      <c r="W84" s="25" t="str">
        <f t="shared" si="3"/>
        <v/>
      </c>
      <c r="X84" s="25" t="str">
        <f t="shared" si="3"/>
        <v/>
      </c>
      <c r="Y84" s="25" t="str">
        <f t="shared" si="3"/>
        <v/>
      </c>
      <c r="Z84" s="25" t="str">
        <f t="shared" si="3"/>
        <v/>
      </c>
      <c r="AA84" s="25" t="str">
        <f t="shared" ref="AA84:AJ92" si="4">IF(AA$5=$CL84,"◆","")</f>
        <v/>
      </c>
      <c r="AB84" s="25" t="str">
        <f t="shared" si="4"/>
        <v/>
      </c>
      <c r="AC84" s="25" t="str">
        <f t="shared" si="4"/>
        <v/>
      </c>
      <c r="AD84" s="25" t="str">
        <f t="shared" si="4"/>
        <v/>
      </c>
      <c r="AE84" s="25" t="str">
        <f t="shared" si="4"/>
        <v/>
      </c>
      <c r="AF84" s="25" t="str">
        <f t="shared" si="4"/>
        <v/>
      </c>
      <c r="AG84" s="25" t="str">
        <f t="shared" si="4"/>
        <v/>
      </c>
      <c r="AH84" s="25" t="str">
        <f t="shared" si="4"/>
        <v/>
      </c>
      <c r="AI84" s="25" t="str">
        <f t="shared" si="4"/>
        <v/>
      </c>
      <c r="AJ84" s="25" t="str">
        <f t="shared" si="4"/>
        <v/>
      </c>
      <c r="AK84" s="25" t="str">
        <f t="shared" ref="AK84:AT92" si="5">IF(AK$5=$CL84,"◆","")</f>
        <v/>
      </c>
      <c r="AL84" s="25" t="str">
        <f t="shared" si="5"/>
        <v/>
      </c>
      <c r="AM84" s="25" t="str">
        <f t="shared" si="5"/>
        <v/>
      </c>
      <c r="AN84" s="25" t="str">
        <f t="shared" si="5"/>
        <v/>
      </c>
      <c r="AO84" s="25" t="str">
        <f t="shared" si="5"/>
        <v/>
      </c>
      <c r="AP84" s="25" t="str">
        <f t="shared" si="5"/>
        <v/>
      </c>
      <c r="AQ84" s="25" t="str">
        <f t="shared" si="5"/>
        <v/>
      </c>
      <c r="AR84" s="25" t="str">
        <f t="shared" si="5"/>
        <v/>
      </c>
      <c r="AS84" s="25" t="str">
        <f t="shared" si="5"/>
        <v/>
      </c>
      <c r="AT84" s="25" t="str">
        <f t="shared" si="5"/>
        <v/>
      </c>
      <c r="AU84" s="25" t="str">
        <f t="shared" ref="AU84:BD92" si="6">IF(AU$5=$CL84,"◆","")</f>
        <v/>
      </c>
      <c r="AV84" s="25" t="str">
        <f t="shared" si="6"/>
        <v/>
      </c>
      <c r="AW84" s="25" t="str">
        <f t="shared" si="6"/>
        <v/>
      </c>
      <c r="AX84" s="25" t="str">
        <f t="shared" si="6"/>
        <v/>
      </c>
      <c r="AY84" s="25" t="str">
        <f t="shared" si="6"/>
        <v/>
      </c>
      <c r="AZ84" s="25" t="str">
        <f t="shared" si="6"/>
        <v/>
      </c>
      <c r="BA84" s="25" t="str">
        <f t="shared" si="6"/>
        <v/>
      </c>
      <c r="BB84" s="25" t="str">
        <f t="shared" si="6"/>
        <v/>
      </c>
      <c r="BC84" s="25" t="str">
        <f t="shared" si="6"/>
        <v/>
      </c>
      <c r="BD84" s="25" t="str">
        <f t="shared" si="6"/>
        <v/>
      </c>
      <c r="BE84" s="25" t="str">
        <f t="shared" ref="BE84:BN92" si="7">IF(BE$5=$CL84,"◆","")</f>
        <v/>
      </c>
      <c r="BF84" s="25" t="str">
        <f t="shared" si="7"/>
        <v/>
      </c>
      <c r="BG84" s="25" t="str">
        <f t="shared" si="7"/>
        <v/>
      </c>
      <c r="BH84" s="25" t="str">
        <f t="shared" si="7"/>
        <v/>
      </c>
      <c r="BI84" s="25" t="str">
        <f t="shared" si="7"/>
        <v/>
      </c>
      <c r="BJ84" s="25" t="str">
        <f t="shared" si="7"/>
        <v/>
      </c>
      <c r="BK84" s="25" t="str">
        <f t="shared" si="7"/>
        <v/>
      </c>
      <c r="BL84" s="25" t="str">
        <f t="shared" si="7"/>
        <v/>
      </c>
      <c r="BM84" s="25" t="str">
        <f t="shared" si="7"/>
        <v/>
      </c>
      <c r="BN84" s="25" t="str">
        <f t="shared" si="7"/>
        <v/>
      </c>
      <c r="BO84" s="25" t="str">
        <f t="shared" ref="BO84:BX92" si="8">IF(BO$5=$CL84,"◆","")</f>
        <v/>
      </c>
      <c r="BP84" s="25" t="str">
        <f t="shared" si="8"/>
        <v/>
      </c>
      <c r="BQ84" s="25" t="str">
        <f t="shared" si="8"/>
        <v/>
      </c>
      <c r="BR84" s="25" t="str">
        <f t="shared" si="8"/>
        <v/>
      </c>
      <c r="BS84" s="25" t="str">
        <f t="shared" si="8"/>
        <v/>
      </c>
      <c r="BT84" s="25" t="str">
        <f t="shared" si="8"/>
        <v/>
      </c>
      <c r="BU84" s="25" t="str">
        <f t="shared" si="8"/>
        <v/>
      </c>
      <c r="BV84" s="25" t="str">
        <f t="shared" si="8"/>
        <v/>
      </c>
      <c r="BW84" s="25" t="str">
        <f t="shared" si="8"/>
        <v/>
      </c>
      <c r="BX84" s="25" t="str">
        <f t="shared" si="8"/>
        <v/>
      </c>
      <c r="BY84" s="25" t="str">
        <f t="shared" ref="BY84:CH92" si="9">IF(BY$5=$CL84,"◆","")</f>
        <v/>
      </c>
      <c r="BZ84" s="25" t="str">
        <f t="shared" si="9"/>
        <v/>
      </c>
      <c r="CA84" s="25" t="str">
        <f t="shared" si="9"/>
        <v/>
      </c>
      <c r="CB84" s="25" t="str">
        <f t="shared" si="9"/>
        <v/>
      </c>
      <c r="CC84" s="25" t="str">
        <f t="shared" si="9"/>
        <v/>
      </c>
      <c r="CD84" s="25" t="str">
        <f t="shared" si="9"/>
        <v/>
      </c>
      <c r="CE84" s="25" t="str">
        <f t="shared" si="9"/>
        <v/>
      </c>
      <c r="CF84" s="25" t="str">
        <f t="shared" si="9"/>
        <v/>
      </c>
      <c r="CG84" s="25" t="str">
        <f t="shared" si="9"/>
        <v/>
      </c>
      <c r="CH84" s="25" t="str">
        <f t="shared" si="9"/>
        <v/>
      </c>
      <c r="CJ84" t="s">
        <v>178</v>
      </c>
      <c r="CL84" s="8">
        <f>IFERROR(IF(TRIM(C84)="","",IF(ISNUMBER(C84),C84,DATE(2026,MATCH(LEFT(MID(TRIM(C84),FIND(" ",TRIM(C84))+1,9),3),Lists!$A$1:$A$12,0),VALUE(LEFT(TRIM(C84),FIND(" ",TRIM(C84))-1))))),"")</f>
        <v>46288</v>
      </c>
      <c r="CM84" s="8">
        <f t="shared" ref="CM84:CM92" si="10">CL84</f>
        <v>46288</v>
      </c>
    </row>
    <row r="85" spans="1:91" ht="14.25" customHeight="1" x14ac:dyDescent="0.25">
      <c r="A85" s="24" t="s">
        <v>179</v>
      </c>
      <c r="B85" s="17"/>
      <c r="C85" s="18" t="s">
        <v>58</v>
      </c>
      <c r="D85" s="19" t="str">
        <f>IF(CL85="","",DAY(CL85)&amp;" "&amp;INDEX(Lists!$A$1:$A$12,MONTH(CL85)))</f>
        <v>7 Oct</v>
      </c>
      <c r="E85" s="19">
        <v>0</v>
      </c>
      <c r="F85" s="20" t="s">
        <v>37</v>
      </c>
      <c r="G85" s="25" t="str">
        <f t="shared" si="2"/>
        <v/>
      </c>
      <c r="H85" s="25" t="str">
        <f t="shared" si="2"/>
        <v/>
      </c>
      <c r="I85" s="25" t="str">
        <f t="shared" si="2"/>
        <v/>
      </c>
      <c r="J85" s="25" t="str">
        <f t="shared" si="2"/>
        <v/>
      </c>
      <c r="K85" s="25" t="str">
        <f t="shared" si="2"/>
        <v/>
      </c>
      <c r="L85" s="25" t="str">
        <f t="shared" si="2"/>
        <v/>
      </c>
      <c r="M85" s="25" t="str">
        <f t="shared" si="2"/>
        <v/>
      </c>
      <c r="N85" s="25" t="str">
        <f t="shared" si="2"/>
        <v/>
      </c>
      <c r="O85" s="25" t="str">
        <f t="shared" si="2"/>
        <v/>
      </c>
      <c r="P85" s="25" t="str">
        <f t="shared" si="2"/>
        <v/>
      </c>
      <c r="Q85" s="25" t="str">
        <f t="shared" si="3"/>
        <v/>
      </c>
      <c r="R85" s="25" t="str">
        <f t="shared" si="3"/>
        <v/>
      </c>
      <c r="S85" s="25" t="str">
        <f t="shared" si="3"/>
        <v/>
      </c>
      <c r="T85" s="25" t="str">
        <f t="shared" si="3"/>
        <v/>
      </c>
      <c r="U85" s="25" t="str">
        <f t="shared" si="3"/>
        <v/>
      </c>
      <c r="V85" s="25" t="str">
        <f t="shared" si="3"/>
        <v/>
      </c>
      <c r="W85" s="25" t="str">
        <f t="shared" si="3"/>
        <v/>
      </c>
      <c r="X85" s="25" t="str">
        <f t="shared" si="3"/>
        <v/>
      </c>
      <c r="Y85" s="25" t="str">
        <f t="shared" si="3"/>
        <v/>
      </c>
      <c r="Z85" s="25" t="str">
        <f t="shared" si="3"/>
        <v/>
      </c>
      <c r="AA85" s="25" t="str">
        <f t="shared" si="4"/>
        <v/>
      </c>
      <c r="AB85" s="25" t="str">
        <f t="shared" si="4"/>
        <v/>
      </c>
      <c r="AC85" s="25" t="str">
        <f t="shared" si="4"/>
        <v/>
      </c>
      <c r="AD85" s="25" t="str">
        <f t="shared" si="4"/>
        <v>◆</v>
      </c>
      <c r="AE85" s="25" t="str">
        <f t="shared" si="4"/>
        <v/>
      </c>
      <c r="AF85" s="25" t="str">
        <f t="shared" si="4"/>
        <v/>
      </c>
      <c r="AG85" s="25" t="str">
        <f t="shared" si="4"/>
        <v/>
      </c>
      <c r="AH85" s="25" t="str">
        <f t="shared" si="4"/>
        <v/>
      </c>
      <c r="AI85" s="25" t="str">
        <f t="shared" si="4"/>
        <v/>
      </c>
      <c r="AJ85" s="25" t="str">
        <f t="shared" si="4"/>
        <v/>
      </c>
      <c r="AK85" s="25" t="str">
        <f t="shared" si="5"/>
        <v/>
      </c>
      <c r="AL85" s="25" t="str">
        <f t="shared" si="5"/>
        <v/>
      </c>
      <c r="AM85" s="25" t="str">
        <f t="shared" si="5"/>
        <v/>
      </c>
      <c r="AN85" s="25" t="str">
        <f t="shared" si="5"/>
        <v/>
      </c>
      <c r="AO85" s="25" t="str">
        <f t="shared" si="5"/>
        <v/>
      </c>
      <c r="AP85" s="25" t="str">
        <f t="shared" si="5"/>
        <v/>
      </c>
      <c r="AQ85" s="25" t="str">
        <f t="shared" si="5"/>
        <v/>
      </c>
      <c r="AR85" s="25" t="str">
        <f t="shared" si="5"/>
        <v/>
      </c>
      <c r="AS85" s="25" t="str">
        <f t="shared" si="5"/>
        <v/>
      </c>
      <c r="AT85" s="25" t="str">
        <f t="shared" si="5"/>
        <v/>
      </c>
      <c r="AU85" s="25" t="str">
        <f t="shared" si="6"/>
        <v/>
      </c>
      <c r="AV85" s="25" t="str">
        <f t="shared" si="6"/>
        <v/>
      </c>
      <c r="AW85" s="25" t="str">
        <f t="shared" si="6"/>
        <v/>
      </c>
      <c r="AX85" s="25" t="str">
        <f t="shared" si="6"/>
        <v/>
      </c>
      <c r="AY85" s="25" t="str">
        <f t="shared" si="6"/>
        <v/>
      </c>
      <c r="AZ85" s="25" t="str">
        <f t="shared" si="6"/>
        <v/>
      </c>
      <c r="BA85" s="25" t="str">
        <f t="shared" si="6"/>
        <v/>
      </c>
      <c r="BB85" s="25" t="str">
        <f t="shared" si="6"/>
        <v/>
      </c>
      <c r="BC85" s="25" t="str">
        <f t="shared" si="6"/>
        <v/>
      </c>
      <c r="BD85" s="25" t="str">
        <f t="shared" si="6"/>
        <v/>
      </c>
      <c r="BE85" s="25" t="str">
        <f t="shared" si="7"/>
        <v/>
      </c>
      <c r="BF85" s="25" t="str">
        <f t="shared" si="7"/>
        <v/>
      </c>
      <c r="BG85" s="25" t="str">
        <f t="shared" si="7"/>
        <v/>
      </c>
      <c r="BH85" s="25" t="str">
        <f t="shared" si="7"/>
        <v/>
      </c>
      <c r="BI85" s="25" t="str">
        <f t="shared" si="7"/>
        <v/>
      </c>
      <c r="BJ85" s="25" t="str">
        <f t="shared" si="7"/>
        <v/>
      </c>
      <c r="BK85" s="25" t="str">
        <f t="shared" si="7"/>
        <v/>
      </c>
      <c r="BL85" s="25" t="str">
        <f t="shared" si="7"/>
        <v/>
      </c>
      <c r="BM85" s="25" t="str">
        <f t="shared" si="7"/>
        <v/>
      </c>
      <c r="BN85" s="25" t="str">
        <f t="shared" si="7"/>
        <v/>
      </c>
      <c r="BO85" s="25" t="str">
        <f t="shared" si="8"/>
        <v/>
      </c>
      <c r="BP85" s="25" t="str">
        <f t="shared" si="8"/>
        <v/>
      </c>
      <c r="BQ85" s="25" t="str">
        <f t="shared" si="8"/>
        <v/>
      </c>
      <c r="BR85" s="25" t="str">
        <f t="shared" si="8"/>
        <v/>
      </c>
      <c r="BS85" s="25" t="str">
        <f t="shared" si="8"/>
        <v/>
      </c>
      <c r="BT85" s="25" t="str">
        <f t="shared" si="8"/>
        <v/>
      </c>
      <c r="BU85" s="25" t="str">
        <f t="shared" si="8"/>
        <v/>
      </c>
      <c r="BV85" s="25" t="str">
        <f t="shared" si="8"/>
        <v/>
      </c>
      <c r="BW85" s="25" t="str">
        <f t="shared" si="8"/>
        <v/>
      </c>
      <c r="BX85" s="25" t="str">
        <f t="shared" si="8"/>
        <v/>
      </c>
      <c r="BY85" s="25" t="str">
        <f t="shared" si="9"/>
        <v/>
      </c>
      <c r="BZ85" s="25" t="str">
        <f t="shared" si="9"/>
        <v/>
      </c>
      <c r="CA85" s="25" t="str">
        <f t="shared" si="9"/>
        <v/>
      </c>
      <c r="CB85" s="25" t="str">
        <f t="shared" si="9"/>
        <v/>
      </c>
      <c r="CC85" s="25" t="str">
        <f t="shared" si="9"/>
        <v/>
      </c>
      <c r="CD85" s="25" t="str">
        <f t="shared" si="9"/>
        <v/>
      </c>
      <c r="CE85" s="25" t="str">
        <f t="shared" si="9"/>
        <v/>
      </c>
      <c r="CF85" s="25" t="str">
        <f t="shared" si="9"/>
        <v/>
      </c>
      <c r="CG85" s="25" t="str">
        <f t="shared" si="9"/>
        <v/>
      </c>
      <c r="CH85" s="25" t="str">
        <f t="shared" si="9"/>
        <v/>
      </c>
      <c r="CJ85" t="s">
        <v>178</v>
      </c>
      <c r="CL85" s="8">
        <f>IFERROR(IF(TRIM(C85)="","",IF(ISNUMBER(C85),C85,DATE(2026,MATCH(LEFT(MID(TRIM(C85),FIND(" ",TRIM(C85))+1,9),3),Lists!$A$1:$A$12,0),VALUE(LEFT(TRIM(C85),FIND(" ",TRIM(C85))-1))))),"")</f>
        <v>46302</v>
      </c>
      <c r="CM85" s="8">
        <f t="shared" si="10"/>
        <v>46302</v>
      </c>
    </row>
    <row r="86" spans="1:91" ht="14.25" customHeight="1" x14ac:dyDescent="0.25">
      <c r="A86" s="24" t="s">
        <v>180</v>
      </c>
      <c r="B86" s="17"/>
      <c r="C86" s="18" t="s">
        <v>82</v>
      </c>
      <c r="D86" s="19" t="str">
        <f>IF(CL86="","",DAY(CL86)&amp;" "&amp;INDEX(Lists!$A$1:$A$12,MONTH(CL86)))</f>
        <v>22 Oct</v>
      </c>
      <c r="E86" s="19">
        <v>0</v>
      </c>
      <c r="F86" s="20" t="s">
        <v>37</v>
      </c>
      <c r="G86" s="25" t="str">
        <f t="shared" si="2"/>
        <v/>
      </c>
      <c r="H86" s="25" t="str">
        <f t="shared" si="2"/>
        <v/>
      </c>
      <c r="I86" s="25" t="str">
        <f t="shared" si="2"/>
        <v/>
      </c>
      <c r="J86" s="25" t="str">
        <f t="shared" si="2"/>
        <v/>
      </c>
      <c r="K86" s="25" t="str">
        <f t="shared" si="2"/>
        <v/>
      </c>
      <c r="L86" s="25" t="str">
        <f t="shared" si="2"/>
        <v/>
      </c>
      <c r="M86" s="25" t="str">
        <f t="shared" si="2"/>
        <v/>
      </c>
      <c r="N86" s="25" t="str">
        <f t="shared" si="2"/>
        <v/>
      </c>
      <c r="O86" s="25" t="str">
        <f t="shared" si="2"/>
        <v/>
      </c>
      <c r="P86" s="25" t="str">
        <f t="shared" si="2"/>
        <v/>
      </c>
      <c r="Q86" s="25" t="str">
        <f t="shared" si="3"/>
        <v/>
      </c>
      <c r="R86" s="25" t="str">
        <f t="shared" si="3"/>
        <v/>
      </c>
      <c r="S86" s="25" t="str">
        <f t="shared" si="3"/>
        <v/>
      </c>
      <c r="T86" s="25" t="str">
        <f t="shared" si="3"/>
        <v/>
      </c>
      <c r="U86" s="25" t="str">
        <f t="shared" si="3"/>
        <v/>
      </c>
      <c r="V86" s="25" t="str">
        <f t="shared" si="3"/>
        <v/>
      </c>
      <c r="W86" s="25" t="str">
        <f t="shared" si="3"/>
        <v/>
      </c>
      <c r="X86" s="25" t="str">
        <f t="shared" si="3"/>
        <v/>
      </c>
      <c r="Y86" s="25" t="str">
        <f t="shared" si="3"/>
        <v/>
      </c>
      <c r="Z86" s="25" t="str">
        <f t="shared" si="3"/>
        <v/>
      </c>
      <c r="AA86" s="25" t="str">
        <f t="shared" si="4"/>
        <v/>
      </c>
      <c r="AB86" s="25" t="str">
        <f t="shared" si="4"/>
        <v/>
      </c>
      <c r="AC86" s="25" t="str">
        <f t="shared" si="4"/>
        <v/>
      </c>
      <c r="AD86" s="25" t="str">
        <f t="shared" si="4"/>
        <v/>
      </c>
      <c r="AE86" s="25" t="str">
        <f t="shared" si="4"/>
        <v/>
      </c>
      <c r="AF86" s="25" t="str">
        <f t="shared" si="4"/>
        <v/>
      </c>
      <c r="AG86" s="25" t="str">
        <f t="shared" si="4"/>
        <v/>
      </c>
      <c r="AH86" s="25" t="str">
        <f t="shared" si="4"/>
        <v/>
      </c>
      <c r="AI86" s="25" t="str">
        <f t="shared" si="4"/>
        <v/>
      </c>
      <c r="AJ86" s="25" t="str">
        <f t="shared" si="4"/>
        <v/>
      </c>
      <c r="AK86" s="25" t="str">
        <f t="shared" si="5"/>
        <v/>
      </c>
      <c r="AL86" s="25" t="str">
        <f t="shared" si="5"/>
        <v/>
      </c>
      <c r="AM86" s="25" t="str">
        <f t="shared" si="5"/>
        <v/>
      </c>
      <c r="AN86" s="25" t="str">
        <f t="shared" si="5"/>
        <v/>
      </c>
      <c r="AO86" s="25" t="str">
        <f t="shared" si="5"/>
        <v/>
      </c>
      <c r="AP86" s="25" t="str">
        <f t="shared" si="5"/>
        <v/>
      </c>
      <c r="AQ86" s="25" t="str">
        <f t="shared" si="5"/>
        <v/>
      </c>
      <c r="AR86" s="25" t="str">
        <f t="shared" si="5"/>
        <v/>
      </c>
      <c r="AS86" s="25" t="str">
        <f t="shared" si="5"/>
        <v>◆</v>
      </c>
      <c r="AT86" s="25" t="str">
        <f t="shared" si="5"/>
        <v/>
      </c>
      <c r="AU86" s="25" t="str">
        <f t="shared" si="6"/>
        <v/>
      </c>
      <c r="AV86" s="25" t="str">
        <f t="shared" si="6"/>
        <v/>
      </c>
      <c r="AW86" s="25" t="str">
        <f t="shared" si="6"/>
        <v/>
      </c>
      <c r="AX86" s="25" t="str">
        <f t="shared" si="6"/>
        <v/>
      </c>
      <c r="AY86" s="25" t="str">
        <f t="shared" si="6"/>
        <v/>
      </c>
      <c r="AZ86" s="25" t="str">
        <f t="shared" si="6"/>
        <v/>
      </c>
      <c r="BA86" s="25" t="str">
        <f t="shared" si="6"/>
        <v/>
      </c>
      <c r="BB86" s="25" t="str">
        <f t="shared" si="6"/>
        <v/>
      </c>
      <c r="BC86" s="25" t="str">
        <f t="shared" si="6"/>
        <v/>
      </c>
      <c r="BD86" s="25" t="str">
        <f t="shared" si="6"/>
        <v/>
      </c>
      <c r="BE86" s="25" t="str">
        <f t="shared" si="7"/>
        <v/>
      </c>
      <c r="BF86" s="25" t="str">
        <f t="shared" si="7"/>
        <v/>
      </c>
      <c r="BG86" s="25" t="str">
        <f t="shared" si="7"/>
        <v/>
      </c>
      <c r="BH86" s="25" t="str">
        <f t="shared" si="7"/>
        <v/>
      </c>
      <c r="BI86" s="25" t="str">
        <f t="shared" si="7"/>
        <v/>
      </c>
      <c r="BJ86" s="25" t="str">
        <f t="shared" si="7"/>
        <v/>
      </c>
      <c r="BK86" s="25" t="str">
        <f t="shared" si="7"/>
        <v/>
      </c>
      <c r="BL86" s="25" t="str">
        <f t="shared" si="7"/>
        <v/>
      </c>
      <c r="BM86" s="25" t="str">
        <f t="shared" si="7"/>
        <v/>
      </c>
      <c r="BN86" s="25" t="str">
        <f t="shared" si="7"/>
        <v/>
      </c>
      <c r="BO86" s="25" t="str">
        <f t="shared" si="8"/>
        <v/>
      </c>
      <c r="BP86" s="25" t="str">
        <f t="shared" si="8"/>
        <v/>
      </c>
      <c r="BQ86" s="25" t="str">
        <f t="shared" si="8"/>
        <v/>
      </c>
      <c r="BR86" s="25" t="str">
        <f t="shared" si="8"/>
        <v/>
      </c>
      <c r="BS86" s="25" t="str">
        <f t="shared" si="8"/>
        <v/>
      </c>
      <c r="BT86" s="25" t="str">
        <f t="shared" si="8"/>
        <v/>
      </c>
      <c r="BU86" s="25" t="str">
        <f t="shared" si="8"/>
        <v/>
      </c>
      <c r="BV86" s="25" t="str">
        <f t="shared" si="8"/>
        <v/>
      </c>
      <c r="BW86" s="25" t="str">
        <f t="shared" si="8"/>
        <v/>
      </c>
      <c r="BX86" s="25" t="str">
        <f t="shared" si="8"/>
        <v/>
      </c>
      <c r="BY86" s="25" t="str">
        <f t="shared" si="9"/>
        <v/>
      </c>
      <c r="BZ86" s="25" t="str">
        <f t="shared" si="9"/>
        <v/>
      </c>
      <c r="CA86" s="25" t="str">
        <f t="shared" si="9"/>
        <v/>
      </c>
      <c r="CB86" s="25" t="str">
        <f t="shared" si="9"/>
        <v/>
      </c>
      <c r="CC86" s="25" t="str">
        <f t="shared" si="9"/>
        <v/>
      </c>
      <c r="CD86" s="25" t="str">
        <f t="shared" si="9"/>
        <v/>
      </c>
      <c r="CE86" s="25" t="str">
        <f t="shared" si="9"/>
        <v/>
      </c>
      <c r="CF86" s="25" t="str">
        <f t="shared" si="9"/>
        <v/>
      </c>
      <c r="CG86" s="25" t="str">
        <f t="shared" si="9"/>
        <v/>
      </c>
      <c r="CH86" s="25" t="str">
        <f t="shared" si="9"/>
        <v/>
      </c>
      <c r="CJ86" t="s">
        <v>178</v>
      </c>
      <c r="CL86" s="8">
        <f>IFERROR(IF(TRIM(C86)="","",IF(ISNUMBER(C86),C86,DATE(2026,MATCH(LEFT(MID(TRIM(C86),FIND(" ",TRIM(C86))+1,9),3),Lists!$A$1:$A$12,0),VALUE(LEFT(TRIM(C86),FIND(" ",TRIM(C86))-1))))),"")</f>
        <v>46317</v>
      </c>
      <c r="CM86" s="8">
        <f t="shared" si="10"/>
        <v>46317</v>
      </c>
    </row>
    <row r="87" spans="1:91" ht="14.25" customHeight="1" x14ac:dyDescent="0.25">
      <c r="A87" s="24" t="s">
        <v>181</v>
      </c>
      <c r="B87" s="17"/>
      <c r="C87" s="18" t="s">
        <v>134</v>
      </c>
      <c r="D87" s="19" t="str">
        <f>IF(CL87="","",DAY(CL87)&amp;" "&amp;INDEX(Lists!$A$1:$A$12,MONTH(CL87)))</f>
        <v>28 Oct</v>
      </c>
      <c r="E87" s="19">
        <v>0</v>
      </c>
      <c r="F87" s="20" t="s">
        <v>37</v>
      </c>
      <c r="G87" s="25" t="str">
        <f t="shared" si="2"/>
        <v/>
      </c>
      <c r="H87" s="25" t="str">
        <f t="shared" si="2"/>
        <v/>
      </c>
      <c r="I87" s="25" t="str">
        <f t="shared" si="2"/>
        <v/>
      </c>
      <c r="J87" s="25" t="str">
        <f t="shared" si="2"/>
        <v/>
      </c>
      <c r="K87" s="25" t="str">
        <f t="shared" si="2"/>
        <v/>
      </c>
      <c r="L87" s="25" t="str">
        <f t="shared" si="2"/>
        <v/>
      </c>
      <c r="M87" s="25" t="str">
        <f t="shared" si="2"/>
        <v/>
      </c>
      <c r="N87" s="25" t="str">
        <f t="shared" si="2"/>
        <v/>
      </c>
      <c r="O87" s="25" t="str">
        <f t="shared" si="2"/>
        <v/>
      </c>
      <c r="P87" s="25" t="str">
        <f t="shared" si="2"/>
        <v/>
      </c>
      <c r="Q87" s="25" t="str">
        <f t="shared" si="3"/>
        <v/>
      </c>
      <c r="R87" s="25" t="str">
        <f t="shared" si="3"/>
        <v/>
      </c>
      <c r="S87" s="25" t="str">
        <f t="shared" si="3"/>
        <v/>
      </c>
      <c r="T87" s="25" t="str">
        <f t="shared" si="3"/>
        <v/>
      </c>
      <c r="U87" s="25" t="str">
        <f t="shared" si="3"/>
        <v/>
      </c>
      <c r="V87" s="25" t="str">
        <f t="shared" si="3"/>
        <v/>
      </c>
      <c r="W87" s="25" t="str">
        <f t="shared" si="3"/>
        <v/>
      </c>
      <c r="X87" s="25" t="str">
        <f t="shared" si="3"/>
        <v/>
      </c>
      <c r="Y87" s="25" t="str">
        <f t="shared" si="3"/>
        <v/>
      </c>
      <c r="Z87" s="25" t="str">
        <f t="shared" si="3"/>
        <v/>
      </c>
      <c r="AA87" s="25" t="str">
        <f t="shared" si="4"/>
        <v/>
      </c>
      <c r="AB87" s="25" t="str">
        <f t="shared" si="4"/>
        <v/>
      </c>
      <c r="AC87" s="25" t="str">
        <f t="shared" si="4"/>
        <v/>
      </c>
      <c r="AD87" s="25" t="str">
        <f t="shared" si="4"/>
        <v/>
      </c>
      <c r="AE87" s="25" t="str">
        <f t="shared" si="4"/>
        <v/>
      </c>
      <c r="AF87" s="25" t="str">
        <f t="shared" si="4"/>
        <v/>
      </c>
      <c r="AG87" s="25" t="str">
        <f t="shared" si="4"/>
        <v/>
      </c>
      <c r="AH87" s="25" t="str">
        <f t="shared" si="4"/>
        <v/>
      </c>
      <c r="AI87" s="25" t="str">
        <f t="shared" si="4"/>
        <v/>
      </c>
      <c r="AJ87" s="25" t="str">
        <f t="shared" si="4"/>
        <v/>
      </c>
      <c r="AK87" s="25" t="str">
        <f t="shared" si="5"/>
        <v/>
      </c>
      <c r="AL87" s="25" t="str">
        <f t="shared" si="5"/>
        <v/>
      </c>
      <c r="AM87" s="25" t="str">
        <f t="shared" si="5"/>
        <v/>
      </c>
      <c r="AN87" s="25" t="str">
        <f t="shared" si="5"/>
        <v/>
      </c>
      <c r="AO87" s="25" t="str">
        <f t="shared" si="5"/>
        <v/>
      </c>
      <c r="AP87" s="25" t="str">
        <f t="shared" si="5"/>
        <v/>
      </c>
      <c r="AQ87" s="25" t="str">
        <f t="shared" si="5"/>
        <v/>
      </c>
      <c r="AR87" s="25" t="str">
        <f t="shared" si="5"/>
        <v/>
      </c>
      <c r="AS87" s="25" t="str">
        <f t="shared" si="5"/>
        <v/>
      </c>
      <c r="AT87" s="25" t="str">
        <f t="shared" si="5"/>
        <v/>
      </c>
      <c r="AU87" s="25" t="str">
        <f t="shared" si="6"/>
        <v/>
      </c>
      <c r="AV87" s="25" t="str">
        <f t="shared" si="6"/>
        <v/>
      </c>
      <c r="AW87" s="25" t="str">
        <f t="shared" si="6"/>
        <v/>
      </c>
      <c r="AX87" s="25" t="str">
        <f t="shared" si="6"/>
        <v/>
      </c>
      <c r="AY87" s="25" t="str">
        <f t="shared" si="6"/>
        <v>◆</v>
      </c>
      <c r="AZ87" s="25" t="str">
        <f t="shared" si="6"/>
        <v/>
      </c>
      <c r="BA87" s="25" t="str">
        <f t="shared" si="6"/>
        <v/>
      </c>
      <c r="BB87" s="25" t="str">
        <f t="shared" si="6"/>
        <v/>
      </c>
      <c r="BC87" s="25" t="str">
        <f t="shared" si="6"/>
        <v/>
      </c>
      <c r="BD87" s="25" t="str">
        <f t="shared" si="6"/>
        <v/>
      </c>
      <c r="BE87" s="25" t="str">
        <f t="shared" si="7"/>
        <v/>
      </c>
      <c r="BF87" s="25" t="str">
        <f t="shared" si="7"/>
        <v/>
      </c>
      <c r="BG87" s="25" t="str">
        <f t="shared" si="7"/>
        <v/>
      </c>
      <c r="BH87" s="25" t="str">
        <f t="shared" si="7"/>
        <v/>
      </c>
      <c r="BI87" s="25" t="str">
        <f t="shared" si="7"/>
        <v/>
      </c>
      <c r="BJ87" s="25" t="str">
        <f t="shared" si="7"/>
        <v/>
      </c>
      <c r="BK87" s="25" t="str">
        <f t="shared" si="7"/>
        <v/>
      </c>
      <c r="BL87" s="25" t="str">
        <f t="shared" si="7"/>
        <v/>
      </c>
      <c r="BM87" s="25" t="str">
        <f t="shared" si="7"/>
        <v/>
      </c>
      <c r="BN87" s="25" t="str">
        <f t="shared" si="7"/>
        <v/>
      </c>
      <c r="BO87" s="25" t="str">
        <f t="shared" si="8"/>
        <v/>
      </c>
      <c r="BP87" s="25" t="str">
        <f t="shared" si="8"/>
        <v/>
      </c>
      <c r="BQ87" s="25" t="str">
        <f t="shared" si="8"/>
        <v/>
      </c>
      <c r="BR87" s="25" t="str">
        <f t="shared" si="8"/>
        <v/>
      </c>
      <c r="BS87" s="25" t="str">
        <f t="shared" si="8"/>
        <v/>
      </c>
      <c r="BT87" s="25" t="str">
        <f t="shared" si="8"/>
        <v/>
      </c>
      <c r="BU87" s="25" t="str">
        <f t="shared" si="8"/>
        <v/>
      </c>
      <c r="BV87" s="25" t="str">
        <f t="shared" si="8"/>
        <v/>
      </c>
      <c r="BW87" s="25" t="str">
        <f t="shared" si="8"/>
        <v/>
      </c>
      <c r="BX87" s="25" t="str">
        <f t="shared" si="8"/>
        <v/>
      </c>
      <c r="BY87" s="25" t="str">
        <f t="shared" si="9"/>
        <v/>
      </c>
      <c r="BZ87" s="25" t="str">
        <f t="shared" si="9"/>
        <v/>
      </c>
      <c r="CA87" s="25" t="str">
        <f t="shared" si="9"/>
        <v/>
      </c>
      <c r="CB87" s="25" t="str">
        <f t="shared" si="9"/>
        <v/>
      </c>
      <c r="CC87" s="25" t="str">
        <f t="shared" si="9"/>
        <v/>
      </c>
      <c r="CD87" s="25" t="str">
        <f t="shared" si="9"/>
        <v/>
      </c>
      <c r="CE87" s="25" t="str">
        <f t="shared" si="9"/>
        <v/>
      </c>
      <c r="CF87" s="25" t="str">
        <f t="shared" si="9"/>
        <v/>
      </c>
      <c r="CG87" s="25" t="str">
        <f t="shared" si="9"/>
        <v/>
      </c>
      <c r="CH87" s="25" t="str">
        <f t="shared" si="9"/>
        <v/>
      </c>
      <c r="CJ87" t="s">
        <v>178</v>
      </c>
      <c r="CL87" s="8">
        <f>IFERROR(IF(TRIM(C87)="","",IF(ISNUMBER(C87),C87,DATE(2026,MATCH(LEFT(MID(TRIM(C87),FIND(" ",TRIM(C87))+1,9),3),Lists!$A$1:$A$12,0),VALUE(LEFT(TRIM(C87),FIND(" ",TRIM(C87))-1))))),"")</f>
        <v>46323</v>
      </c>
      <c r="CM87" s="8">
        <f t="shared" si="10"/>
        <v>46323</v>
      </c>
    </row>
    <row r="88" spans="1:91" ht="14.25" customHeight="1" x14ac:dyDescent="0.25">
      <c r="A88" s="24" t="s">
        <v>182</v>
      </c>
      <c r="B88" s="17"/>
      <c r="C88" s="18" t="s">
        <v>127</v>
      </c>
      <c r="D88" s="19" t="str">
        <f>IF(CL88="","",DAY(CL88)&amp;" "&amp;INDEX(Lists!$A$1:$A$12,MONTH(CL88)))</f>
        <v>15 Nov</v>
      </c>
      <c r="E88" s="19">
        <v>0</v>
      </c>
      <c r="F88" s="20" t="s">
        <v>62</v>
      </c>
      <c r="G88" s="25" t="str">
        <f t="shared" si="2"/>
        <v/>
      </c>
      <c r="H88" s="25" t="str">
        <f t="shared" si="2"/>
        <v/>
      </c>
      <c r="I88" s="25" t="str">
        <f t="shared" si="2"/>
        <v/>
      </c>
      <c r="J88" s="25" t="str">
        <f t="shared" si="2"/>
        <v/>
      </c>
      <c r="K88" s="25" t="str">
        <f t="shared" si="2"/>
        <v/>
      </c>
      <c r="L88" s="25" t="str">
        <f t="shared" si="2"/>
        <v/>
      </c>
      <c r="M88" s="25" t="str">
        <f t="shared" si="2"/>
        <v/>
      </c>
      <c r="N88" s="25" t="str">
        <f t="shared" si="2"/>
        <v/>
      </c>
      <c r="O88" s="25" t="str">
        <f t="shared" si="2"/>
        <v/>
      </c>
      <c r="P88" s="25" t="str">
        <f t="shared" si="2"/>
        <v/>
      </c>
      <c r="Q88" s="25" t="str">
        <f t="shared" si="3"/>
        <v/>
      </c>
      <c r="R88" s="25" t="str">
        <f t="shared" si="3"/>
        <v/>
      </c>
      <c r="S88" s="25" t="str">
        <f t="shared" si="3"/>
        <v/>
      </c>
      <c r="T88" s="25" t="str">
        <f t="shared" si="3"/>
        <v/>
      </c>
      <c r="U88" s="25" t="str">
        <f t="shared" si="3"/>
        <v/>
      </c>
      <c r="V88" s="25" t="str">
        <f t="shared" si="3"/>
        <v/>
      </c>
      <c r="W88" s="25" t="str">
        <f t="shared" si="3"/>
        <v/>
      </c>
      <c r="X88" s="25" t="str">
        <f t="shared" si="3"/>
        <v/>
      </c>
      <c r="Y88" s="25" t="str">
        <f t="shared" si="3"/>
        <v/>
      </c>
      <c r="Z88" s="25" t="str">
        <f t="shared" si="3"/>
        <v/>
      </c>
      <c r="AA88" s="25" t="str">
        <f t="shared" si="4"/>
        <v/>
      </c>
      <c r="AB88" s="25" t="str">
        <f t="shared" si="4"/>
        <v/>
      </c>
      <c r="AC88" s="25" t="str">
        <f t="shared" si="4"/>
        <v/>
      </c>
      <c r="AD88" s="25" t="str">
        <f t="shared" si="4"/>
        <v/>
      </c>
      <c r="AE88" s="25" t="str">
        <f t="shared" si="4"/>
        <v/>
      </c>
      <c r="AF88" s="25" t="str">
        <f t="shared" si="4"/>
        <v/>
      </c>
      <c r="AG88" s="25" t="str">
        <f t="shared" si="4"/>
        <v/>
      </c>
      <c r="AH88" s="25" t="str">
        <f t="shared" si="4"/>
        <v/>
      </c>
      <c r="AI88" s="25" t="str">
        <f t="shared" si="4"/>
        <v/>
      </c>
      <c r="AJ88" s="25" t="str">
        <f t="shared" si="4"/>
        <v/>
      </c>
      <c r="AK88" s="25" t="str">
        <f t="shared" si="5"/>
        <v/>
      </c>
      <c r="AL88" s="25" t="str">
        <f t="shared" si="5"/>
        <v/>
      </c>
      <c r="AM88" s="25" t="str">
        <f t="shared" si="5"/>
        <v/>
      </c>
      <c r="AN88" s="25" t="str">
        <f t="shared" si="5"/>
        <v/>
      </c>
      <c r="AO88" s="25" t="str">
        <f t="shared" si="5"/>
        <v/>
      </c>
      <c r="AP88" s="25" t="str">
        <f t="shared" si="5"/>
        <v/>
      </c>
      <c r="AQ88" s="25" t="str">
        <f t="shared" si="5"/>
        <v/>
      </c>
      <c r="AR88" s="25" t="str">
        <f t="shared" si="5"/>
        <v/>
      </c>
      <c r="AS88" s="25" t="str">
        <f t="shared" si="5"/>
        <v/>
      </c>
      <c r="AT88" s="25" t="str">
        <f t="shared" si="5"/>
        <v/>
      </c>
      <c r="AU88" s="25" t="str">
        <f t="shared" si="6"/>
        <v/>
      </c>
      <c r="AV88" s="25" t="str">
        <f t="shared" si="6"/>
        <v/>
      </c>
      <c r="AW88" s="25" t="str">
        <f t="shared" si="6"/>
        <v/>
      </c>
      <c r="AX88" s="25" t="str">
        <f t="shared" si="6"/>
        <v/>
      </c>
      <c r="AY88" s="25" t="str">
        <f t="shared" si="6"/>
        <v/>
      </c>
      <c r="AZ88" s="25" t="str">
        <f t="shared" si="6"/>
        <v/>
      </c>
      <c r="BA88" s="25" t="str">
        <f t="shared" si="6"/>
        <v/>
      </c>
      <c r="BB88" s="25" t="str">
        <f t="shared" si="6"/>
        <v/>
      </c>
      <c r="BC88" s="25" t="str">
        <f t="shared" si="6"/>
        <v/>
      </c>
      <c r="BD88" s="25" t="str">
        <f t="shared" si="6"/>
        <v/>
      </c>
      <c r="BE88" s="25" t="str">
        <f t="shared" si="7"/>
        <v/>
      </c>
      <c r="BF88" s="25" t="str">
        <f t="shared" si="7"/>
        <v/>
      </c>
      <c r="BG88" s="25" t="str">
        <f t="shared" si="7"/>
        <v/>
      </c>
      <c r="BH88" s="25" t="str">
        <f t="shared" si="7"/>
        <v/>
      </c>
      <c r="BI88" s="25" t="str">
        <f t="shared" si="7"/>
        <v/>
      </c>
      <c r="BJ88" s="25" t="str">
        <f t="shared" si="7"/>
        <v/>
      </c>
      <c r="BK88" s="25" t="str">
        <f t="shared" si="7"/>
        <v/>
      </c>
      <c r="BL88" s="25" t="str">
        <f t="shared" si="7"/>
        <v/>
      </c>
      <c r="BM88" s="25" t="str">
        <f t="shared" si="7"/>
        <v/>
      </c>
      <c r="BN88" s="25" t="str">
        <f t="shared" si="7"/>
        <v/>
      </c>
      <c r="BO88" s="25" t="str">
        <f t="shared" si="8"/>
        <v/>
      </c>
      <c r="BP88" s="25" t="str">
        <f t="shared" si="8"/>
        <v/>
      </c>
      <c r="BQ88" s="25" t="str">
        <f t="shared" si="8"/>
        <v>◆</v>
      </c>
      <c r="BR88" s="25" t="str">
        <f t="shared" si="8"/>
        <v/>
      </c>
      <c r="BS88" s="25" t="str">
        <f t="shared" si="8"/>
        <v/>
      </c>
      <c r="BT88" s="25" t="str">
        <f t="shared" si="8"/>
        <v/>
      </c>
      <c r="BU88" s="25" t="str">
        <f t="shared" si="8"/>
        <v/>
      </c>
      <c r="BV88" s="25" t="str">
        <f t="shared" si="8"/>
        <v/>
      </c>
      <c r="BW88" s="25" t="str">
        <f t="shared" si="8"/>
        <v/>
      </c>
      <c r="BX88" s="25" t="str">
        <f t="shared" si="8"/>
        <v/>
      </c>
      <c r="BY88" s="25" t="str">
        <f t="shared" si="9"/>
        <v/>
      </c>
      <c r="BZ88" s="25" t="str">
        <f t="shared" si="9"/>
        <v/>
      </c>
      <c r="CA88" s="25" t="str">
        <f t="shared" si="9"/>
        <v/>
      </c>
      <c r="CB88" s="25" t="str">
        <f t="shared" si="9"/>
        <v/>
      </c>
      <c r="CC88" s="25" t="str">
        <f t="shared" si="9"/>
        <v/>
      </c>
      <c r="CD88" s="25" t="str">
        <f t="shared" si="9"/>
        <v/>
      </c>
      <c r="CE88" s="25" t="str">
        <f t="shared" si="9"/>
        <v/>
      </c>
      <c r="CF88" s="25" t="str">
        <f t="shared" si="9"/>
        <v/>
      </c>
      <c r="CG88" s="25" t="str">
        <f t="shared" si="9"/>
        <v/>
      </c>
      <c r="CH88" s="25" t="str">
        <f t="shared" si="9"/>
        <v/>
      </c>
      <c r="CJ88" t="s">
        <v>178</v>
      </c>
      <c r="CL88" s="8">
        <f>IFERROR(IF(TRIM(C88)="","",IF(ISNUMBER(C88),C88,DATE(2026,MATCH(LEFT(MID(TRIM(C88),FIND(" ",TRIM(C88))+1,9),3),Lists!$A$1:$A$12,0),VALUE(LEFT(TRIM(C88),FIND(" ",TRIM(C88))-1))))),"")</f>
        <v>46341</v>
      </c>
      <c r="CM88" s="8">
        <f t="shared" si="10"/>
        <v>46341</v>
      </c>
    </row>
    <row r="89" spans="1:91" ht="14.25" customHeight="1" x14ac:dyDescent="0.25">
      <c r="A89" s="24" t="s">
        <v>183</v>
      </c>
      <c r="B89" s="17"/>
      <c r="C89" s="18" t="s">
        <v>184</v>
      </c>
      <c r="D89" s="19" t="str">
        <f>IF(CL89="","",DAY(CL89)&amp;" "&amp;INDEX(Lists!$A$1:$A$12,MONTH(CL89)))</f>
        <v>18 Nov</v>
      </c>
      <c r="E89" s="19">
        <v>0</v>
      </c>
      <c r="F89" s="20" t="s">
        <v>62</v>
      </c>
      <c r="G89" s="25" t="str">
        <f t="shared" si="2"/>
        <v/>
      </c>
      <c r="H89" s="25" t="str">
        <f t="shared" si="2"/>
        <v/>
      </c>
      <c r="I89" s="25" t="str">
        <f t="shared" si="2"/>
        <v/>
      </c>
      <c r="J89" s="25" t="str">
        <f t="shared" si="2"/>
        <v/>
      </c>
      <c r="K89" s="25" t="str">
        <f t="shared" si="2"/>
        <v/>
      </c>
      <c r="L89" s="25" t="str">
        <f t="shared" si="2"/>
        <v/>
      </c>
      <c r="M89" s="25" t="str">
        <f t="shared" si="2"/>
        <v/>
      </c>
      <c r="N89" s="25" t="str">
        <f t="shared" si="2"/>
        <v/>
      </c>
      <c r="O89" s="25" t="str">
        <f t="shared" si="2"/>
        <v/>
      </c>
      <c r="P89" s="25" t="str">
        <f t="shared" si="2"/>
        <v/>
      </c>
      <c r="Q89" s="25" t="str">
        <f t="shared" si="3"/>
        <v/>
      </c>
      <c r="R89" s="25" t="str">
        <f t="shared" si="3"/>
        <v/>
      </c>
      <c r="S89" s="25" t="str">
        <f t="shared" si="3"/>
        <v/>
      </c>
      <c r="T89" s="25" t="str">
        <f t="shared" si="3"/>
        <v/>
      </c>
      <c r="U89" s="25" t="str">
        <f t="shared" si="3"/>
        <v/>
      </c>
      <c r="V89" s="25" t="str">
        <f t="shared" si="3"/>
        <v/>
      </c>
      <c r="W89" s="25" t="str">
        <f t="shared" si="3"/>
        <v/>
      </c>
      <c r="X89" s="25" t="str">
        <f t="shared" si="3"/>
        <v/>
      </c>
      <c r="Y89" s="25" t="str">
        <f t="shared" si="3"/>
        <v/>
      </c>
      <c r="Z89" s="25" t="str">
        <f t="shared" si="3"/>
        <v/>
      </c>
      <c r="AA89" s="25" t="str">
        <f t="shared" si="4"/>
        <v/>
      </c>
      <c r="AB89" s="25" t="str">
        <f t="shared" si="4"/>
        <v/>
      </c>
      <c r="AC89" s="25" t="str">
        <f t="shared" si="4"/>
        <v/>
      </c>
      <c r="AD89" s="25" t="str">
        <f t="shared" si="4"/>
        <v/>
      </c>
      <c r="AE89" s="25" t="str">
        <f t="shared" si="4"/>
        <v/>
      </c>
      <c r="AF89" s="25" t="str">
        <f t="shared" si="4"/>
        <v/>
      </c>
      <c r="AG89" s="25" t="str">
        <f t="shared" si="4"/>
        <v/>
      </c>
      <c r="AH89" s="25" t="str">
        <f t="shared" si="4"/>
        <v/>
      </c>
      <c r="AI89" s="25" t="str">
        <f t="shared" si="4"/>
        <v/>
      </c>
      <c r="AJ89" s="25" t="str">
        <f t="shared" si="4"/>
        <v/>
      </c>
      <c r="AK89" s="25" t="str">
        <f t="shared" si="5"/>
        <v/>
      </c>
      <c r="AL89" s="25" t="str">
        <f t="shared" si="5"/>
        <v/>
      </c>
      <c r="AM89" s="25" t="str">
        <f t="shared" si="5"/>
        <v/>
      </c>
      <c r="AN89" s="25" t="str">
        <f t="shared" si="5"/>
        <v/>
      </c>
      <c r="AO89" s="25" t="str">
        <f t="shared" si="5"/>
        <v/>
      </c>
      <c r="AP89" s="25" t="str">
        <f t="shared" si="5"/>
        <v/>
      </c>
      <c r="AQ89" s="25" t="str">
        <f t="shared" si="5"/>
        <v/>
      </c>
      <c r="AR89" s="25" t="str">
        <f t="shared" si="5"/>
        <v/>
      </c>
      <c r="AS89" s="25" t="str">
        <f t="shared" si="5"/>
        <v/>
      </c>
      <c r="AT89" s="25" t="str">
        <f t="shared" si="5"/>
        <v/>
      </c>
      <c r="AU89" s="25" t="str">
        <f t="shared" si="6"/>
        <v/>
      </c>
      <c r="AV89" s="25" t="str">
        <f t="shared" si="6"/>
        <v/>
      </c>
      <c r="AW89" s="25" t="str">
        <f t="shared" si="6"/>
        <v/>
      </c>
      <c r="AX89" s="25" t="str">
        <f t="shared" si="6"/>
        <v/>
      </c>
      <c r="AY89" s="25" t="str">
        <f t="shared" si="6"/>
        <v/>
      </c>
      <c r="AZ89" s="25" t="str">
        <f t="shared" si="6"/>
        <v/>
      </c>
      <c r="BA89" s="25" t="str">
        <f t="shared" si="6"/>
        <v/>
      </c>
      <c r="BB89" s="25" t="str">
        <f t="shared" si="6"/>
        <v/>
      </c>
      <c r="BC89" s="25" t="str">
        <f t="shared" si="6"/>
        <v/>
      </c>
      <c r="BD89" s="25" t="str">
        <f t="shared" si="6"/>
        <v/>
      </c>
      <c r="BE89" s="25" t="str">
        <f t="shared" si="7"/>
        <v/>
      </c>
      <c r="BF89" s="25" t="str">
        <f t="shared" si="7"/>
        <v/>
      </c>
      <c r="BG89" s="25" t="str">
        <f t="shared" si="7"/>
        <v/>
      </c>
      <c r="BH89" s="25" t="str">
        <f t="shared" si="7"/>
        <v/>
      </c>
      <c r="BI89" s="25" t="str">
        <f t="shared" si="7"/>
        <v/>
      </c>
      <c r="BJ89" s="25" t="str">
        <f t="shared" si="7"/>
        <v/>
      </c>
      <c r="BK89" s="25" t="str">
        <f t="shared" si="7"/>
        <v/>
      </c>
      <c r="BL89" s="25" t="str">
        <f t="shared" si="7"/>
        <v/>
      </c>
      <c r="BM89" s="25" t="str">
        <f t="shared" si="7"/>
        <v/>
      </c>
      <c r="BN89" s="25" t="str">
        <f t="shared" si="7"/>
        <v/>
      </c>
      <c r="BO89" s="25" t="str">
        <f t="shared" si="8"/>
        <v/>
      </c>
      <c r="BP89" s="25" t="str">
        <f t="shared" si="8"/>
        <v/>
      </c>
      <c r="BQ89" s="25" t="str">
        <f t="shared" si="8"/>
        <v/>
      </c>
      <c r="BR89" s="25" t="str">
        <f t="shared" si="8"/>
        <v/>
      </c>
      <c r="BS89" s="25" t="str">
        <f t="shared" si="8"/>
        <v/>
      </c>
      <c r="BT89" s="25" t="str">
        <f t="shared" si="8"/>
        <v>◆</v>
      </c>
      <c r="BU89" s="25" t="str">
        <f t="shared" si="8"/>
        <v/>
      </c>
      <c r="BV89" s="25" t="str">
        <f t="shared" si="8"/>
        <v/>
      </c>
      <c r="BW89" s="25" t="str">
        <f t="shared" si="8"/>
        <v/>
      </c>
      <c r="BX89" s="25" t="str">
        <f t="shared" si="8"/>
        <v/>
      </c>
      <c r="BY89" s="25" t="str">
        <f t="shared" si="9"/>
        <v/>
      </c>
      <c r="BZ89" s="25" t="str">
        <f t="shared" si="9"/>
        <v/>
      </c>
      <c r="CA89" s="25" t="str">
        <f t="shared" si="9"/>
        <v/>
      </c>
      <c r="CB89" s="25" t="str">
        <f t="shared" si="9"/>
        <v/>
      </c>
      <c r="CC89" s="25" t="str">
        <f t="shared" si="9"/>
        <v/>
      </c>
      <c r="CD89" s="25" t="str">
        <f t="shared" si="9"/>
        <v/>
      </c>
      <c r="CE89" s="25" t="str">
        <f t="shared" si="9"/>
        <v/>
      </c>
      <c r="CF89" s="25" t="str">
        <f t="shared" si="9"/>
        <v/>
      </c>
      <c r="CG89" s="25" t="str">
        <f t="shared" si="9"/>
        <v/>
      </c>
      <c r="CH89" s="25" t="str">
        <f t="shared" si="9"/>
        <v/>
      </c>
      <c r="CJ89" t="s">
        <v>178</v>
      </c>
      <c r="CL89" s="8">
        <f>IFERROR(IF(TRIM(C89)="","",IF(ISNUMBER(C89),C89,DATE(2026,MATCH(LEFT(MID(TRIM(C89),FIND(" ",TRIM(C89))+1,9),3),Lists!$A$1:$A$12,0),VALUE(LEFT(TRIM(C89),FIND(" ",TRIM(C89))-1))))),"")</f>
        <v>46344</v>
      </c>
      <c r="CM89" s="8">
        <f t="shared" si="10"/>
        <v>46344</v>
      </c>
    </row>
    <row r="90" spans="1:91" ht="14.25" customHeight="1" x14ac:dyDescent="0.25">
      <c r="A90" s="24" t="s">
        <v>185</v>
      </c>
      <c r="B90" s="17"/>
      <c r="C90" s="18" t="s">
        <v>145</v>
      </c>
      <c r="D90" s="19" t="str">
        <f>IF(CL90="","",DAY(CL90)&amp;" "&amp;INDEX(Lists!$A$1:$A$12,MONTH(CL90)))</f>
        <v>25 Nov</v>
      </c>
      <c r="E90" s="19">
        <v>0</v>
      </c>
      <c r="F90" s="20" t="s">
        <v>62</v>
      </c>
      <c r="G90" s="25" t="str">
        <f t="shared" si="2"/>
        <v/>
      </c>
      <c r="H90" s="25" t="str">
        <f t="shared" si="2"/>
        <v/>
      </c>
      <c r="I90" s="25" t="str">
        <f t="shared" si="2"/>
        <v/>
      </c>
      <c r="J90" s="25" t="str">
        <f t="shared" si="2"/>
        <v/>
      </c>
      <c r="K90" s="25" t="str">
        <f t="shared" si="2"/>
        <v/>
      </c>
      <c r="L90" s="25" t="str">
        <f t="shared" si="2"/>
        <v/>
      </c>
      <c r="M90" s="25" t="str">
        <f t="shared" si="2"/>
        <v/>
      </c>
      <c r="N90" s="25" t="str">
        <f t="shared" si="2"/>
        <v/>
      </c>
      <c r="O90" s="25" t="str">
        <f t="shared" si="2"/>
        <v/>
      </c>
      <c r="P90" s="25" t="str">
        <f t="shared" si="2"/>
        <v/>
      </c>
      <c r="Q90" s="25" t="str">
        <f t="shared" si="3"/>
        <v/>
      </c>
      <c r="R90" s="25" t="str">
        <f t="shared" si="3"/>
        <v/>
      </c>
      <c r="S90" s="25" t="str">
        <f t="shared" si="3"/>
        <v/>
      </c>
      <c r="T90" s="25" t="str">
        <f t="shared" si="3"/>
        <v/>
      </c>
      <c r="U90" s="25" t="str">
        <f t="shared" si="3"/>
        <v/>
      </c>
      <c r="V90" s="25" t="str">
        <f t="shared" si="3"/>
        <v/>
      </c>
      <c r="W90" s="25" t="str">
        <f t="shared" si="3"/>
        <v/>
      </c>
      <c r="X90" s="25" t="str">
        <f t="shared" si="3"/>
        <v/>
      </c>
      <c r="Y90" s="25" t="str">
        <f t="shared" si="3"/>
        <v/>
      </c>
      <c r="Z90" s="25" t="str">
        <f t="shared" si="3"/>
        <v/>
      </c>
      <c r="AA90" s="25" t="str">
        <f t="shared" si="4"/>
        <v/>
      </c>
      <c r="AB90" s="25" t="str">
        <f t="shared" si="4"/>
        <v/>
      </c>
      <c r="AC90" s="25" t="str">
        <f t="shared" si="4"/>
        <v/>
      </c>
      <c r="AD90" s="25" t="str">
        <f t="shared" si="4"/>
        <v/>
      </c>
      <c r="AE90" s="25" t="str">
        <f t="shared" si="4"/>
        <v/>
      </c>
      <c r="AF90" s="25" t="str">
        <f t="shared" si="4"/>
        <v/>
      </c>
      <c r="AG90" s="25" t="str">
        <f t="shared" si="4"/>
        <v/>
      </c>
      <c r="AH90" s="25" t="str">
        <f t="shared" si="4"/>
        <v/>
      </c>
      <c r="AI90" s="25" t="str">
        <f t="shared" si="4"/>
        <v/>
      </c>
      <c r="AJ90" s="25" t="str">
        <f t="shared" si="4"/>
        <v/>
      </c>
      <c r="AK90" s="25" t="str">
        <f t="shared" si="5"/>
        <v/>
      </c>
      <c r="AL90" s="25" t="str">
        <f t="shared" si="5"/>
        <v/>
      </c>
      <c r="AM90" s="25" t="str">
        <f t="shared" si="5"/>
        <v/>
      </c>
      <c r="AN90" s="25" t="str">
        <f t="shared" si="5"/>
        <v/>
      </c>
      <c r="AO90" s="25" t="str">
        <f t="shared" si="5"/>
        <v/>
      </c>
      <c r="AP90" s="25" t="str">
        <f t="shared" si="5"/>
        <v/>
      </c>
      <c r="AQ90" s="25" t="str">
        <f t="shared" si="5"/>
        <v/>
      </c>
      <c r="AR90" s="25" t="str">
        <f t="shared" si="5"/>
        <v/>
      </c>
      <c r="AS90" s="25" t="str">
        <f t="shared" si="5"/>
        <v/>
      </c>
      <c r="AT90" s="25" t="str">
        <f t="shared" si="5"/>
        <v/>
      </c>
      <c r="AU90" s="25" t="str">
        <f t="shared" si="6"/>
        <v/>
      </c>
      <c r="AV90" s="25" t="str">
        <f t="shared" si="6"/>
        <v/>
      </c>
      <c r="AW90" s="25" t="str">
        <f t="shared" si="6"/>
        <v/>
      </c>
      <c r="AX90" s="25" t="str">
        <f t="shared" si="6"/>
        <v/>
      </c>
      <c r="AY90" s="25" t="str">
        <f t="shared" si="6"/>
        <v/>
      </c>
      <c r="AZ90" s="25" t="str">
        <f t="shared" si="6"/>
        <v/>
      </c>
      <c r="BA90" s="25" t="str">
        <f t="shared" si="6"/>
        <v/>
      </c>
      <c r="BB90" s="25" t="str">
        <f t="shared" si="6"/>
        <v/>
      </c>
      <c r="BC90" s="25" t="str">
        <f t="shared" si="6"/>
        <v/>
      </c>
      <c r="BD90" s="25" t="str">
        <f t="shared" si="6"/>
        <v/>
      </c>
      <c r="BE90" s="25" t="str">
        <f t="shared" si="7"/>
        <v/>
      </c>
      <c r="BF90" s="25" t="str">
        <f t="shared" si="7"/>
        <v/>
      </c>
      <c r="BG90" s="25" t="str">
        <f t="shared" si="7"/>
        <v/>
      </c>
      <c r="BH90" s="25" t="str">
        <f t="shared" si="7"/>
        <v/>
      </c>
      <c r="BI90" s="25" t="str">
        <f t="shared" si="7"/>
        <v/>
      </c>
      <c r="BJ90" s="25" t="str">
        <f t="shared" si="7"/>
        <v/>
      </c>
      <c r="BK90" s="25" t="str">
        <f t="shared" si="7"/>
        <v/>
      </c>
      <c r="BL90" s="25" t="str">
        <f t="shared" si="7"/>
        <v/>
      </c>
      <c r="BM90" s="25" t="str">
        <f t="shared" si="7"/>
        <v/>
      </c>
      <c r="BN90" s="25" t="str">
        <f t="shared" si="7"/>
        <v/>
      </c>
      <c r="BO90" s="25" t="str">
        <f t="shared" si="8"/>
        <v/>
      </c>
      <c r="BP90" s="25" t="str">
        <f t="shared" si="8"/>
        <v/>
      </c>
      <c r="BQ90" s="25" t="str">
        <f t="shared" si="8"/>
        <v/>
      </c>
      <c r="BR90" s="25" t="str">
        <f t="shared" si="8"/>
        <v/>
      </c>
      <c r="BS90" s="25" t="str">
        <f t="shared" si="8"/>
        <v/>
      </c>
      <c r="BT90" s="25" t="str">
        <f t="shared" si="8"/>
        <v/>
      </c>
      <c r="BU90" s="25" t="str">
        <f t="shared" si="8"/>
        <v/>
      </c>
      <c r="BV90" s="25" t="str">
        <f t="shared" si="8"/>
        <v/>
      </c>
      <c r="BW90" s="25" t="str">
        <f t="shared" si="8"/>
        <v/>
      </c>
      <c r="BX90" s="25" t="str">
        <f t="shared" si="8"/>
        <v/>
      </c>
      <c r="BY90" s="25" t="str">
        <f t="shared" si="9"/>
        <v/>
      </c>
      <c r="BZ90" s="25" t="str">
        <f t="shared" si="9"/>
        <v/>
      </c>
      <c r="CA90" s="25" t="str">
        <f t="shared" si="9"/>
        <v>◆</v>
      </c>
      <c r="CB90" s="25" t="str">
        <f t="shared" si="9"/>
        <v/>
      </c>
      <c r="CC90" s="25" t="str">
        <f t="shared" si="9"/>
        <v/>
      </c>
      <c r="CD90" s="25" t="str">
        <f t="shared" si="9"/>
        <v/>
      </c>
      <c r="CE90" s="25" t="str">
        <f t="shared" si="9"/>
        <v/>
      </c>
      <c r="CF90" s="25" t="str">
        <f t="shared" si="9"/>
        <v/>
      </c>
      <c r="CG90" s="25" t="str">
        <f t="shared" si="9"/>
        <v/>
      </c>
      <c r="CH90" s="25" t="str">
        <f t="shared" si="9"/>
        <v/>
      </c>
      <c r="CJ90" t="s">
        <v>178</v>
      </c>
      <c r="CL90" s="8">
        <f>IFERROR(IF(TRIM(C90)="","",IF(ISNUMBER(C90),C90,DATE(2026,MATCH(LEFT(MID(TRIM(C90),FIND(" ",TRIM(C90))+1,9),3),Lists!$A$1:$A$12,0),VALUE(LEFT(TRIM(C90),FIND(" ",TRIM(C90))-1))))),"")</f>
        <v>46351</v>
      </c>
      <c r="CM90" s="8">
        <f t="shared" si="10"/>
        <v>46351</v>
      </c>
    </row>
    <row r="91" spans="1:91" ht="14.25" customHeight="1" x14ac:dyDescent="0.25">
      <c r="A91" s="24" t="s">
        <v>186</v>
      </c>
      <c r="B91" s="17"/>
      <c r="C91" s="18" t="s">
        <v>150</v>
      </c>
      <c r="D91" s="19" t="str">
        <f>IF(CL91="","",DAY(CL91)&amp;" "&amp;INDEX(Lists!$A$1:$A$12,MONTH(CL91)))</f>
        <v>30 Nov</v>
      </c>
      <c r="E91" s="19">
        <v>0</v>
      </c>
      <c r="F91" s="20" t="s">
        <v>62</v>
      </c>
      <c r="G91" s="25" t="str">
        <f t="shared" si="2"/>
        <v/>
      </c>
      <c r="H91" s="25" t="str">
        <f t="shared" si="2"/>
        <v/>
      </c>
      <c r="I91" s="25" t="str">
        <f t="shared" si="2"/>
        <v/>
      </c>
      <c r="J91" s="25" t="str">
        <f t="shared" si="2"/>
        <v/>
      </c>
      <c r="K91" s="25" t="str">
        <f t="shared" si="2"/>
        <v/>
      </c>
      <c r="L91" s="25" t="str">
        <f t="shared" si="2"/>
        <v/>
      </c>
      <c r="M91" s="25" t="str">
        <f t="shared" si="2"/>
        <v/>
      </c>
      <c r="N91" s="25" t="str">
        <f t="shared" si="2"/>
        <v/>
      </c>
      <c r="O91" s="25" t="str">
        <f t="shared" si="2"/>
        <v/>
      </c>
      <c r="P91" s="25" t="str">
        <f t="shared" si="2"/>
        <v/>
      </c>
      <c r="Q91" s="25" t="str">
        <f t="shared" si="3"/>
        <v/>
      </c>
      <c r="R91" s="25" t="str">
        <f t="shared" si="3"/>
        <v/>
      </c>
      <c r="S91" s="25" t="str">
        <f t="shared" si="3"/>
        <v/>
      </c>
      <c r="T91" s="25" t="str">
        <f t="shared" si="3"/>
        <v/>
      </c>
      <c r="U91" s="25" t="str">
        <f t="shared" si="3"/>
        <v/>
      </c>
      <c r="V91" s="25" t="str">
        <f t="shared" si="3"/>
        <v/>
      </c>
      <c r="W91" s="25" t="str">
        <f t="shared" si="3"/>
        <v/>
      </c>
      <c r="X91" s="25" t="str">
        <f t="shared" si="3"/>
        <v/>
      </c>
      <c r="Y91" s="25" t="str">
        <f t="shared" si="3"/>
        <v/>
      </c>
      <c r="Z91" s="25" t="str">
        <f t="shared" si="3"/>
        <v/>
      </c>
      <c r="AA91" s="25" t="str">
        <f t="shared" si="4"/>
        <v/>
      </c>
      <c r="AB91" s="25" t="str">
        <f t="shared" si="4"/>
        <v/>
      </c>
      <c r="AC91" s="25" t="str">
        <f t="shared" si="4"/>
        <v/>
      </c>
      <c r="AD91" s="25" t="str">
        <f t="shared" si="4"/>
        <v/>
      </c>
      <c r="AE91" s="25" t="str">
        <f t="shared" si="4"/>
        <v/>
      </c>
      <c r="AF91" s="25" t="str">
        <f t="shared" si="4"/>
        <v/>
      </c>
      <c r="AG91" s="25" t="str">
        <f t="shared" si="4"/>
        <v/>
      </c>
      <c r="AH91" s="25" t="str">
        <f t="shared" si="4"/>
        <v/>
      </c>
      <c r="AI91" s="25" t="str">
        <f t="shared" si="4"/>
        <v/>
      </c>
      <c r="AJ91" s="25" t="str">
        <f t="shared" si="4"/>
        <v/>
      </c>
      <c r="AK91" s="25" t="str">
        <f t="shared" si="5"/>
        <v/>
      </c>
      <c r="AL91" s="25" t="str">
        <f t="shared" si="5"/>
        <v/>
      </c>
      <c r="AM91" s="25" t="str">
        <f t="shared" si="5"/>
        <v/>
      </c>
      <c r="AN91" s="25" t="str">
        <f t="shared" si="5"/>
        <v/>
      </c>
      <c r="AO91" s="25" t="str">
        <f t="shared" si="5"/>
        <v/>
      </c>
      <c r="AP91" s="25" t="str">
        <f t="shared" si="5"/>
        <v/>
      </c>
      <c r="AQ91" s="25" t="str">
        <f t="shared" si="5"/>
        <v/>
      </c>
      <c r="AR91" s="25" t="str">
        <f t="shared" si="5"/>
        <v/>
      </c>
      <c r="AS91" s="25" t="str">
        <f t="shared" si="5"/>
        <v/>
      </c>
      <c r="AT91" s="25" t="str">
        <f t="shared" si="5"/>
        <v/>
      </c>
      <c r="AU91" s="25" t="str">
        <f t="shared" si="6"/>
        <v/>
      </c>
      <c r="AV91" s="25" t="str">
        <f t="shared" si="6"/>
        <v/>
      </c>
      <c r="AW91" s="25" t="str">
        <f t="shared" si="6"/>
        <v/>
      </c>
      <c r="AX91" s="25" t="str">
        <f t="shared" si="6"/>
        <v/>
      </c>
      <c r="AY91" s="25" t="str">
        <f t="shared" si="6"/>
        <v/>
      </c>
      <c r="AZ91" s="25" t="str">
        <f t="shared" si="6"/>
        <v/>
      </c>
      <c r="BA91" s="25" t="str">
        <f t="shared" si="6"/>
        <v/>
      </c>
      <c r="BB91" s="25" t="str">
        <f t="shared" si="6"/>
        <v/>
      </c>
      <c r="BC91" s="25" t="str">
        <f t="shared" si="6"/>
        <v/>
      </c>
      <c r="BD91" s="25" t="str">
        <f t="shared" si="6"/>
        <v/>
      </c>
      <c r="BE91" s="25" t="str">
        <f t="shared" si="7"/>
        <v/>
      </c>
      <c r="BF91" s="25" t="str">
        <f t="shared" si="7"/>
        <v/>
      </c>
      <c r="BG91" s="25" t="str">
        <f t="shared" si="7"/>
        <v/>
      </c>
      <c r="BH91" s="25" t="str">
        <f t="shared" si="7"/>
        <v/>
      </c>
      <c r="BI91" s="25" t="str">
        <f t="shared" si="7"/>
        <v/>
      </c>
      <c r="BJ91" s="25" t="str">
        <f t="shared" si="7"/>
        <v/>
      </c>
      <c r="BK91" s="25" t="str">
        <f t="shared" si="7"/>
        <v/>
      </c>
      <c r="BL91" s="25" t="str">
        <f t="shared" si="7"/>
        <v/>
      </c>
      <c r="BM91" s="25" t="str">
        <f t="shared" si="7"/>
        <v/>
      </c>
      <c r="BN91" s="25" t="str">
        <f t="shared" si="7"/>
        <v/>
      </c>
      <c r="BO91" s="25" t="str">
        <f t="shared" si="8"/>
        <v/>
      </c>
      <c r="BP91" s="25" t="str">
        <f t="shared" si="8"/>
        <v/>
      </c>
      <c r="BQ91" s="25" t="str">
        <f t="shared" si="8"/>
        <v/>
      </c>
      <c r="BR91" s="25" t="str">
        <f t="shared" si="8"/>
        <v/>
      </c>
      <c r="BS91" s="25" t="str">
        <f t="shared" si="8"/>
        <v/>
      </c>
      <c r="BT91" s="25" t="str">
        <f t="shared" si="8"/>
        <v/>
      </c>
      <c r="BU91" s="25" t="str">
        <f t="shared" si="8"/>
        <v/>
      </c>
      <c r="BV91" s="25" t="str">
        <f t="shared" si="8"/>
        <v/>
      </c>
      <c r="BW91" s="25" t="str">
        <f t="shared" si="8"/>
        <v/>
      </c>
      <c r="BX91" s="25" t="str">
        <f t="shared" si="8"/>
        <v/>
      </c>
      <c r="BY91" s="25" t="str">
        <f t="shared" si="9"/>
        <v/>
      </c>
      <c r="BZ91" s="25" t="str">
        <f t="shared" si="9"/>
        <v/>
      </c>
      <c r="CA91" s="25" t="str">
        <f t="shared" si="9"/>
        <v/>
      </c>
      <c r="CB91" s="25" t="str">
        <f t="shared" si="9"/>
        <v/>
      </c>
      <c r="CC91" s="25" t="str">
        <f t="shared" si="9"/>
        <v/>
      </c>
      <c r="CD91" s="25" t="str">
        <f t="shared" si="9"/>
        <v/>
      </c>
      <c r="CE91" s="25" t="str">
        <f t="shared" si="9"/>
        <v/>
      </c>
      <c r="CF91" s="25" t="str">
        <f t="shared" si="9"/>
        <v>◆</v>
      </c>
      <c r="CG91" s="25" t="str">
        <f t="shared" si="9"/>
        <v/>
      </c>
      <c r="CH91" s="25" t="str">
        <f t="shared" si="9"/>
        <v/>
      </c>
      <c r="CJ91" t="s">
        <v>178</v>
      </c>
      <c r="CL91" s="8">
        <f>IFERROR(IF(TRIM(C91)="","",IF(ISNUMBER(C91),C91,DATE(2026,MATCH(LEFT(MID(TRIM(C91),FIND(" ",TRIM(C91))+1,9),3),Lists!$A$1:$A$12,0),VALUE(LEFT(TRIM(C91),FIND(" ",TRIM(C91))-1))))),"")</f>
        <v>46356</v>
      </c>
      <c r="CM91" s="8">
        <f t="shared" si="10"/>
        <v>46356</v>
      </c>
    </row>
    <row r="92" spans="1:91" ht="14.25" customHeight="1" x14ac:dyDescent="0.25">
      <c r="A92" s="24" t="s">
        <v>187</v>
      </c>
      <c r="B92" s="17"/>
      <c r="C92" s="18" t="s">
        <v>188</v>
      </c>
      <c r="D92" s="19" t="str">
        <f>IF(CL92="","",DAY(CL92)&amp;" "&amp;INDEX(Lists!$A$1:$A$12,MONTH(CL92)))</f>
        <v>2 Dec</v>
      </c>
      <c r="E92" s="19">
        <v>0</v>
      </c>
      <c r="F92" s="20" t="s">
        <v>62</v>
      </c>
      <c r="G92" s="25" t="str">
        <f t="shared" si="2"/>
        <v/>
      </c>
      <c r="H92" s="25" t="str">
        <f t="shared" si="2"/>
        <v/>
      </c>
      <c r="I92" s="25" t="str">
        <f t="shared" si="2"/>
        <v/>
      </c>
      <c r="J92" s="25" t="str">
        <f t="shared" si="2"/>
        <v/>
      </c>
      <c r="K92" s="25" t="str">
        <f t="shared" si="2"/>
        <v/>
      </c>
      <c r="L92" s="25" t="str">
        <f t="shared" si="2"/>
        <v/>
      </c>
      <c r="M92" s="25" t="str">
        <f t="shared" si="2"/>
        <v/>
      </c>
      <c r="N92" s="25" t="str">
        <f t="shared" si="2"/>
        <v/>
      </c>
      <c r="O92" s="25" t="str">
        <f t="shared" si="2"/>
        <v/>
      </c>
      <c r="P92" s="25" t="str">
        <f t="shared" si="2"/>
        <v/>
      </c>
      <c r="Q92" s="25" t="str">
        <f t="shared" si="3"/>
        <v/>
      </c>
      <c r="R92" s="25" t="str">
        <f t="shared" si="3"/>
        <v/>
      </c>
      <c r="S92" s="25" t="str">
        <f t="shared" si="3"/>
        <v/>
      </c>
      <c r="T92" s="25" t="str">
        <f t="shared" si="3"/>
        <v/>
      </c>
      <c r="U92" s="25" t="str">
        <f t="shared" si="3"/>
        <v/>
      </c>
      <c r="V92" s="25" t="str">
        <f t="shared" si="3"/>
        <v/>
      </c>
      <c r="W92" s="25" t="str">
        <f t="shared" si="3"/>
        <v/>
      </c>
      <c r="X92" s="25" t="str">
        <f t="shared" si="3"/>
        <v/>
      </c>
      <c r="Y92" s="25" t="str">
        <f t="shared" si="3"/>
        <v/>
      </c>
      <c r="Z92" s="25" t="str">
        <f t="shared" si="3"/>
        <v/>
      </c>
      <c r="AA92" s="25" t="str">
        <f t="shared" si="4"/>
        <v/>
      </c>
      <c r="AB92" s="25" t="str">
        <f t="shared" si="4"/>
        <v/>
      </c>
      <c r="AC92" s="25" t="str">
        <f t="shared" si="4"/>
        <v/>
      </c>
      <c r="AD92" s="25" t="str">
        <f t="shared" si="4"/>
        <v/>
      </c>
      <c r="AE92" s="25" t="str">
        <f t="shared" si="4"/>
        <v/>
      </c>
      <c r="AF92" s="25" t="str">
        <f t="shared" si="4"/>
        <v/>
      </c>
      <c r="AG92" s="25" t="str">
        <f t="shared" si="4"/>
        <v/>
      </c>
      <c r="AH92" s="25" t="str">
        <f t="shared" si="4"/>
        <v/>
      </c>
      <c r="AI92" s="25" t="str">
        <f t="shared" si="4"/>
        <v/>
      </c>
      <c r="AJ92" s="25" t="str">
        <f t="shared" si="4"/>
        <v/>
      </c>
      <c r="AK92" s="25" t="str">
        <f t="shared" si="5"/>
        <v/>
      </c>
      <c r="AL92" s="25" t="str">
        <f t="shared" si="5"/>
        <v/>
      </c>
      <c r="AM92" s="25" t="str">
        <f t="shared" si="5"/>
        <v/>
      </c>
      <c r="AN92" s="25" t="str">
        <f t="shared" si="5"/>
        <v/>
      </c>
      <c r="AO92" s="25" t="str">
        <f t="shared" si="5"/>
        <v/>
      </c>
      <c r="AP92" s="25" t="str">
        <f t="shared" si="5"/>
        <v/>
      </c>
      <c r="AQ92" s="25" t="str">
        <f t="shared" si="5"/>
        <v/>
      </c>
      <c r="AR92" s="25" t="str">
        <f t="shared" si="5"/>
        <v/>
      </c>
      <c r="AS92" s="25" t="str">
        <f t="shared" si="5"/>
        <v/>
      </c>
      <c r="AT92" s="25" t="str">
        <f t="shared" si="5"/>
        <v/>
      </c>
      <c r="AU92" s="25" t="str">
        <f t="shared" si="6"/>
        <v/>
      </c>
      <c r="AV92" s="25" t="str">
        <f t="shared" si="6"/>
        <v/>
      </c>
      <c r="AW92" s="25" t="str">
        <f t="shared" si="6"/>
        <v/>
      </c>
      <c r="AX92" s="25" t="str">
        <f t="shared" si="6"/>
        <v/>
      </c>
      <c r="AY92" s="25" t="str">
        <f t="shared" si="6"/>
        <v/>
      </c>
      <c r="AZ92" s="25" t="str">
        <f t="shared" si="6"/>
        <v/>
      </c>
      <c r="BA92" s="25" t="str">
        <f t="shared" si="6"/>
        <v/>
      </c>
      <c r="BB92" s="25" t="str">
        <f t="shared" si="6"/>
        <v/>
      </c>
      <c r="BC92" s="25" t="str">
        <f t="shared" si="6"/>
        <v/>
      </c>
      <c r="BD92" s="25" t="str">
        <f t="shared" si="6"/>
        <v/>
      </c>
      <c r="BE92" s="25" t="str">
        <f t="shared" si="7"/>
        <v/>
      </c>
      <c r="BF92" s="25" t="str">
        <f t="shared" si="7"/>
        <v/>
      </c>
      <c r="BG92" s="25" t="str">
        <f t="shared" si="7"/>
        <v/>
      </c>
      <c r="BH92" s="25" t="str">
        <f t="shared" si="7"/>
        <v/>
      </c>
      <c r="BI92" s="25" t="str">
        <f t="shared" si="7"/>
        <v/>
      </c>
      <c r="BJ92" s="25" t="str">
        <f t="shared" si="7"/>
        <v/>
      </c>
      <c r="BK92" s="25" t="str">
        <f t="shared" si="7"/>
        <v/>
      </c>
      <c r="BL92" s="25" t="str">
        <f t="shared" si="7"/>
        <v/>
      </c>
      <c r="BM92" s="25" t="str">
        <f t="shared" si="7"/>
        <v/>
      </c>
      <c r="BN92" s="25" t="str">
        <f t="shared" si="7"/>
        <v/>
      </c>
      <c r="BO92" s="25" t="str">
        <f t="shared" si="8"/>
        <v/>
      </c>
      <c r="BP92" s="25" t="str">
        <f t="shared" si="8"/>
        <v/>
      </c>
      <c r="BQ92" s="25" t="str">
        <f t="shared" si="8"/>
        <v/>
      </c>
      <c r="BR92" s="25" t="str">
        <f t="shared" si="8"/>
        <v/>
      </c>
      <c r="BS92" s="25" t="str">
        <f t="shared" si="8"/>
        <v/>
      </c>
      <c r="BT92" s="25" t="str">
        <f t="shared" si="8"/>
        <v/>
      </c>
      <c r="BU92" s="25" t="str">
        <f t="shared" si="8"/>
        <v/>
      </c>
      <c r="BV92" s="25" t="str">
        <f t="shared" si="8"/>
        <v/>
      </c>
      <c r="BW92" s="25" t="str">
        <f t="shared" si="8"/>
        <v/>
      </c>
      <c r="BX92" s="25" t="str">
        <f t="shared" si="8"/>
        <v/>
      </c>
      <c r="BY92" s="25" t="str">
        <f t="shared" si="9"/>
        <v/>
      </c>
      <c r="BZ92" s="25" t="str">
        <f t="shared" si="9"/>
        <v/>
      </c>
      <c r="CA92" s="25" t="str">
        <f t="shared" si="9"/>
        <v/>
      </c>
      <c r="CB92" s="25" t="str">
        <f t="shared" si="9"/>
        <v/>
      </c>
      <c r="CC92" s="25" t="str">
        <f t="shared" si="9"/>
        <v/>
      </c>
      <c r="CD92" s="25" t="str">
        <f t="shared" si="9"/>
        <v/>
      </c>
      <c r="CE92" s="25" t="str">
        <f t="shared" si="9"/>
        <v/>
      </c>
      <c r="CF92" s="25" t="str">
        <f t="shared" si="9"/>
        <v/>
      </c>
      <c r="CG92" s="25" t="str">
        <f t="shared" si="9"/>
        <v/>
      </c>
      <c r="CH92" s="25" t="str">
        <f t="shared" si="9"/>
        <v>◆</v>
      </c>
      <c r="CJ92" t="s">
        <v>178</v>
      </c>
      <c r="CL92" s="8">
        <f>IFERROR(IF(TRIM(C92)="","",IF(ISNUMBER(C92),C92,DATE(2026,MATCH(LEFT(MID(TRIM(C92),FIND(" ",TRIM(C92))+1,9),3),Lists!$A$1:$A$12,0),VALUE(LEFT(TRIM(C92),FIND(" ",TRIM(C92))-1))))),"")</f>
        <v>46358</v>
      </c>
      <c r="CM92" s="8">
        <f t="shared" si="10"/>
        <v>46358</v>
      </c>
    </row>
    <row r="94" spans="1:91" ht="15" customHeight="1" x14ac:dyDescent="0.25">
      <c r="A94" s="26" t="s">
        <v>189</v>
      </c>
    </row>
    <row r="95" spans="1:91" ht="15" customHeight="1" x14ac:dyDescent="0.25">
      <c r="A95" s="27" t="s">
        <v>190</v>
      </c>
      <c r="B95" s="28"/>
    </row>
    <row r="96" spans="1:91" ht="15" customHeight="1" x14ac:dyDescent="0.25">
      <c r="A96" s="27" t="s">
        <v>37</v>
      </c>
      <c r="B96" s="29"/>
    </row>
    <row r="97" spans="1:2" ht="15" customHeight="1" x14ac:dyDescent="0.25">
      <c r="A97" s="27" t="s">
        <v>105</v>
      </c>
      <c r="B97" s="30"/>
    </row>
    <row r="98" spans="1:2" ht="15" customHeight="1" x14ac:dyDescent="0.25">
      <c r="A98" s="27" t="s">
        <v>191</v>
      </c>
      <c r="B98" s="31"/>
    </row>
    <row r="99" spans="1:2" ht="15" customHeight="1" x14ac:dyDescent="0.25">
      <c r="A99" s="27" t="s">
        <v>192</v>
      </c>
      <c r="B99" s="32"/>
    </row>
    <row r="100" spans="1:2" ht="15" customHeight="1" x14ac:dyDescent="0.25">
      <c r="A100" s="27" t="s">
        <v>178</v>
      </c>
      <c r="B100" s="33"/>
    </row>
    <row r="101" spans="1:2" ht="15" customHeight="1" x14ac:dyDescent="0.25">
      <c r="A101" s="27" t="s">
        <v>193</v>
      </c>
      <c r="B101" s="34"/>
    </row>
  </sheetData>
  <mergeCells count="23">
    <mergeCell ref="G6:W6"/>
    <mergeCell ref="X6:BB6"/>
    <mergeCell ref="BC6:CF6"/>
    <mergeCell ref="CG6:CH6"/>
    <mergeCell ref="G7:M7"/>
    <mergeCell ref="N7:T7"/>
    <mergeCell ref="U7:AA7"/>
    <mergeCell ref="AB7:AH7"/>
    <mergeCell ref="AI7:AO7"/>
    <mergeCell ref="AP7:AV7"/>
    <mergeCell ref="AW7:BC7"/>
    <mergeCell ref="BD7:BJ7"/>
    <mergeCell ref="BK7:BQ7"/>
    <mergeCell ref="BR7:BX7"/>
    <mergeCell ref="BY7:CE7"/>
    <mergeCell ref="CF7:CH7"/>
    <mergeCell ref="A1:F1"/>
    <mergeCell ref="A6:A9"/>
    <mergeCell ref="B6:B9"/>
    <mergeCell ref="C6:C9"/>
    <mergeCell ref="D6:D9"/>
    <mergeCell ref="E6:E9"/>
    <mergeCell ref="F6:F9"/>
  </mergeCells>
  <conditionalFormatting sqref="A6:F9">
    <cfRule type="expression" dxfId="24" priority="14">
      <formula>1</formula>
    </cfRule>
  </conditionalFormatting>
  <conditionalFormatting sqref="A10:F92">
    <cfRule type="expression" dxfId="23" priority="19">
      <formula>OR($CJ10="Heading",$CJ10="Heading2")</formula>
    </cfRule>
  </conditionalFormatting>
  <conditionalFormatting sqref="B95">
    <cfRule type="expression" dxfId="22" priority="20">
      <formula>1</formula>
    </cfRule>
  </conditionalFormatting>
  <conditionalFormatting sqref="B96">
    <cfRule type="expression" dxfId="21" priority="21">
      <formula>1</formula>
    </cfRule>
  </conditionalFormatting>
  <conditionalFormatting sqref="B97">
    <cfRule type="expression" dxfId="20" priority="22">
      <formula>1</formula>
    </cfRule>
  </conditionalFormatting>
  <conditionalFormatting sqref="B98">
    <cfRule type="expression" dxfId="19" priority="23">
      <formula>1</formula>
    </cfRule>
  </conditionalFormatting>
  <conditionalFormatting sqref="B99">
    <cfRule type="expression" dxfId="18" priority="24">
      <formula>1</formula>
    </cfRule>
  </conditionalFormatting>
  <conditionalFormatting sqref="B100">
    <cfRule type="expression" dxfId="17" priority="25">
      <formula>1</formula>
    </cfRule>
  </conditionalFormatting>
  <conditionalFormatting sqref="B101">
    <cfRule type="expression" dxfId="16" priority="26">
      <formula>1</formula>
    </cfRule>
  </conditionalFormatting>
  <conditionalFormatting sqref="F10:F92">
    <cfRule type="expression" dxfId="15" priority="12">
      <formula>$F10="Done"</formula>
    </cfRule>
    <cfRule type="expression" dxfId="14" priority="13">
      <formula>$F10="In progress"</formula>
    </cfRule>
  </conditionalFormatting>
  <conditionalFormatting sqref="G6:CH6">
    <cfRule type="expression" dxfId="13" priority="15">
      <formula>1</formula>
    </cfRule>
  </conditionalFormatting>
  <conditionalFormatting sqref="G7:CH7">
    <cfRule type="expression" dxfId="12" priority="16">
      <formula>1</formula>
    </cfRule>
  </conditionalFormatting>
  <conditionalFormatting sqref="G8:CH9">
    <cfRule type="expression" dxfId="11" priority="17">
      <formula>WEEKDAY(G$5,2)&gt;5</formula>
    </cfRule>
    <cfRule type="expression" dxfId="10" priority="18">
      <formula>1</formula>
    </cfRule>
  </conditionalFormatting>
  <conditionalFormatting sqref="G10:CH92">
    <cfRule type="expression" dxfId="9" priority="2">
      <formula>AND(AND($CL10&lt;&gt;"",G$5&gt;=$CL10,G$5&lt;=$CM10),$CJ10="Milestone")</formula>
    </cfRule>
    <cfRule type="expression" dxfId="8" priority="3">
      <formula>AND(AND($CL10&lt;&gt;"",G$5&gt;=$CL10,G$5&lt;=$CM10),$CJ10="Heading")</formula>
    </cfRule>
    <cfRule type="expression" dxfId="7" priority="4">
      <formula>AND(AND($CL10&lt;&gt;"",G$5&gt;=$CL10,G$5&lt;=$CM10),$F10="Dropped")</formula>
    </cfRule>
    <cfRule type="expression" dxfId="6" priority="5">
      <formula>AND(AND($CL10&lt;&gt;"",G$5&gt;=$CL10,G$5&lt;=$CM10),$F10="Done")</formula>
    </cfRule>
    <cfRule type="expression" dxfId="5" priority="6">
      <formula>AND(AND($CL10&lt;&gt;"",G$5&gt;=$CL10,G$5&lt;=$CM10),$F10="In progress")</formula>
    </cfRule>
    <cfRule type="expression" dxfId="4" priority="7">
      <formula>AND(AND($CL10&lt;&gt;"",G$5&gt;=$CL10,G$5&lt;=$CM10),$CK10="Yes")</formula>
    </cfRule>
    <cfRule type="expression" dxfId="3" priority="8">
      <formula>AND(AND($CL10&lt;&gt;"",G$5&gt;=$CL10,G$5&lt;=$CM10),$CJ10="Task")</formula>
    </cfRule>
    <cfRule type="expression" dxfId="2" priority="9">
      <formula>WEEKDAY(G$5,2)&gt;5</formula>
    </cfRule>
    <cfRule type="expression" dxfId="1" priority="10">
      <formula>$CJ10="Heading"</formula>
    </cfRule>
    <cfRule type="expression" dxfId="0" priority="11">
      <formula>$CJ10="Heading2"</formula>
    </cfRule>
  </conditionalFormatting>
  <dataValidations count="1">
    <dataValidation type="list" allowBlank="1" sqref="F11:F13 F15:F16 F18:F21 F23:F24 F26:F27 F29:F34 F36:F37 F39:F41 F43:F47 F49:F52 F54:F55 F57:F64 F66:F67 F69:F71 F73:F76 F78:F80 F82 F84:F92" xr:uid="{00000000-0002-0000-0000-000000000000}">
      <formula1>"Not started,In progress,Done,Dropped"</formula1>
      <formula2>0</formula2>
    </dataValidation>
  </dataValidations>
  <pageMargins left="0.25" right="0.25" top="0.35" bottom="0.35" header="0.511811023622047" footer="0.511811023622047"/>
  <pageSetup paperSize="8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2"/>
  <sheetViews>
    <sheetView zoomScaleNormal="100" workbookViewId="0"/>
  </sheetViews>
  <sheetFormatPr defaultColWidth="8.7109375" defaultRowHeight="15" x14ac:dyDescent="0.25"/>
  <sheetData>
    <row r="1" spans="1:1" ht="15" customHeight="1" x14ac:dyDescent="0.25">
      <c r="A1" t="s">
        <v>194</v>
      </c>
    </row>
    <row r="2" spans="1:1" ht="15" customHeight="1" x14ac:dyDescent="0.25">
      <c r="A2" t="s">
        <v>195</v>
      </c>
    </row>
    <row r="3" spans="1:1" ht="15" customHeight="1" x14ac:dyDescent="0.25">
      <c r="A3" t="s">
        <v>196</v>
      </c>
    </row>
    <row r="4" spans="1:1" ht="15" customHeight="1" x14ac:dyDescent="0.25">
      <c r="A4" t="s">
        <v>197</v>
      </c>
    </row>
    <row r="5" spans="1:1" ht="15" customHeight="1" x14ac:dyDescent="0.25">
      <c r="A5" t="s">
        <v>198</v>
      </c>
    </row>
    <row r="6" spans="1:1" ht="15" customHeight="1" x14ac:dyDescent="0.25">
      <c r="A6" t="s">
        <v>199</v>
      </c>
    </row>
    <row r="7" spans="1:1" ht="15" customHeight="1" x14ac:dyDescent="0.25">
      <c r="A7" t="s">
        <v>200</v>
      </c>
    </row>
    <row r="8" spans="1:1" ht="15" customHeight="1" x14ac:dyDescent="0.25">
      <c r="A8" t="s">
        <v>201</v>
      </c>
    </row>
    <row r="9" spans="1:1" ht="15" customHeight="1" x14ac:dyDescent="0.25">
      <c r="A9" t="s">
        <v>202</v>
      </c>
    </row>
    <row r="10" spans="1:1" ht="15" customHeight="1" x14ac:dyDescent="0.25">
      <c r="A10" t="s">
        <v>203</v>
      </c>
    </row>
    <row r="11" spans="1:1" ht="15" customHeight="1" x14ac:dyDescent="0.25">
      <c r="A11" t="s">
        <v>204</v>
      </c>
    </row>
    <row r="12" spans="1:1" ht="15" customHeight="1" x14ac:dyDescent="0.25">
      <c r="A12" t="s">
        <v>11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0"/>
  <sheetViews>
    <sheetView zoomScaleNormal="100" workbookViewId="0">
      <pane ySplit="4" topLeftCell="A5" activePane="bottomLeft" state="frozen"/>
      <selection pane="bottomLeft"/>
    </sheetView>
  </sheetViews>
  <sheetFormatPr defaultColWidth="8.7109375" defaultRowHeight="15" x14ac:dyDescent="0.25"/>
  <cols>
    <col min="1" max="1" width="52" customWidth="1"/>
    <col min="2" max="2" width="22" customWidth="1"/>
    <col min="3" max="3" width="18" customWidth="1"/>
    <col min="4" max="4" width="14" customWidth="1"/>
    <col min="5" max="5" width="85" customWidth="1"/>
  </cols>
  <sheetData>
    <row r="1" spans="1:5" ht="16.5" customHeight="1" x14ac:dyDescent="0.25">
      <c r="A1" s="35" t="s">
        <v>205</v>
      </c>
    </row>
    <row r="2" spans="1:5" ht="15" customHeight="1" x14ac:dyDescent="0.25">
      <c r="A2" s="36" t="s">
        <v>206</v>
      </c>
    </row>
    <row r="4" spans="1:5" ht="15" customHeight="1" x14ac:dyDescent="0.25">
      <c r="A4" s="37" t="s">
        <v>207</v>
      </c>
      <c r="B4" s="37" t="s">
        <v>208</v>
      </c>
      <c r="C4" s="37" t="s">
        <v>209</v>
      </c>
      <c r="D4" s="37" t="s">
        <v>210</v>
      </c>
      <c r="E4" s="37" t="s">
        <v>211</v>
      </c>
    </row>
    <row r="5" spans="1:5" ht="25.5" customHeight="1" x14ac:dyDescent="0.25">
      <c r="A5" s="38" t="s">
        <v>212</v>
      </c>
      <c r="B5" s="39" t="s">
        <v>213</v>
      </c>
      <c r="C5" s="39" t="s">
        <v>214</v>
      </c>
      <c r="D5" s="39" t="s">
        <v>37</v>
      </c>
      <c r="E5" s="38" t="s">
        <v>215</v>
      </c>
    </row>
    <row r="6" spans="1:5" ht="15" customHeight="1" x14ac:dyDescent="0.25">
      <c r="A6" s="38" t="s">
        <v>216</v>
      </c>
      <c r="B6" s="39" t="s">
        <v>217</v>
      </c>
      <c r="C6" s="39" t="s">
        <v>218</v>
      </c>
      <c r="D6" s="39" t="s">
        <v>37</v>
      </c>
      <c r="E6" s="38" t="s">
        <v>219</v>
      </c>
    </row>
    <row r="7" spans="1:5" ht="25.5" customHeight="1" x14ac:dyDescent="0.25">
      <c r="A7" s="38" t="s">
        <v>220</v>
      </c>
      <c r="B7" s="39" t="s">
        <v>221</v>
      </c>
      <c r="C7" s="39" t="s">
        <v>222</v>
      </c>
      <c r="D7" s="39" t="s">
        <v>105</v>
      </c>
      <c r="E7" s="38" t="s">
        <v>223</v>
      </c>
    </row>
    <row r="8" spans="1:5" ht="25.5" customHeight="1" x14ac:dyDescent="0.25">
      <c r="A8" s="38" t="s">
        <v>224</v>
      </c>
      <c r="B8" s="39" t="s">
        <v>225</v>
      </c>
      <c r="C8" s="39" t="s">
        <v>226</v>
      </c>
      <c r="D8" s="39" t="s">
        <v>37</v>
      </c>
      <c r="E8" s="38" t="s">
        <v>227</v>
      </c>
    </row>
    <row r="9" spans="1:5" ht="25.5" customHeight="1" x14ac:dyDescent="0.25">
      <c r="A9" s="38" t="s">
        <v>228</v>
      </c>
      <c r="B9" s="39" t="s">
        <v>229</v>
      </c>
      <c r="C9" s="39" t="s">
        <v>230</v>
      </c>
      <c r="D9" s="39" t="s">
        <v>37</v>
      </c>
      <c r="E9" s="38" t="s">
        <v>231</v>
      </c>
    </row>
    <row r="10" spans="1:5" ht="25.5" customHeight="1" x14ac:dyDescent="0.25">
      <c r="A10" s="38" t="s">
        <v>232</v>
      </c>
      <c r="B10" s="39" t="s">
        <v>233</v>
      </c>
      <c r="C10" s="39" t="s">
        <v>234</v>
      </c>
      <c r="D10" s="39" t="s">
        <v>37</v>
      </c>
      <c r="E10" s="38" t="s">
        <v>235</v>
      </c>
    </row>
    <row r="11" spans="1:5" ht="25.5" customHeight="1" x14ac:dyDescent="0.25">
      <c r="A11" s="38" t="s">
        <v>236</v>
      </c>
      <c r="B11" s="39" t="s">
        <v>237</v>
      </c>
      <c r="C11" s="39" t="s">
        <v>238</v>
      </c>
      <c r="D11" s="39" t="s">
        <v>105</v>
      </c>
      <c r="E11" s="38" t="s">
        <v>239</v>
      </c>
    </row>
    <row r="12" spans="1:5" ht="25.5" customHeight="1" x14ac:dyDescent="0.25">
      <c r="A12" s="38" t="s">
        <v>240</v>
      </c>
      <c r="B12" s="39" t="s">
        <v>241</v>
      </c>
      <c r="C12" s="39" t="s">
        <v>242</v>
      </c>
      <c r="D12" s="39" t="s">
        <v>105</v>
      </c>
      <c r="E12" s="38" t="s">
        <v>243</v>
      </c>
    </row>
    <row r="13" spans="1:5" ht="25.5" customHeight="1" x14ac:dyDescent="0.25">
      <c r="A13" s="38" t="s">
        <v>244</v>
      </c>
      <c r="B13" s="39" t="s">
        <v>245</v>
      </c>
      <c r="C13" s="39" t="s">
        <v>246</v>
      </c>
      <c r="D13" s="39" t="s">
        <v>105</v>
      </c>
      <c r="E13" s="38" t="s">
        <v>247</v>
      </c>
    </row>
    <row r="14" spans="1:5" ht="25.5" customHeight="1" x14ac:dyDescent="0.25">
      <c r="A14" s="38" t="s">
        <v>248</v>
      </c>
      <c r="B14" s="39" t="s">
        <v>249</v>
      </c>
      <c r="C14" s="39" t="s">
        <v>250</v>
      </c>
      <c r="D14" s="39" t="s">
        <v>105</v>
      </c>
      <c r="E14" s="38" t="s">
        <v>251</v>
      </c>
    </row>
    <row r="15" spans="1:5" ht="25.5" customHeight="1" x14ac:dyDescent="0.25">
      <c r="A15" s="38" t="s">
        <v>252</v>
      </c>
      <c r="B15" s="39" t="s">
        <v>253</v>
      </c>
      <c r="C15" s="39" t="s">
        <v>254</v>
      </c>
      <c r="D15" s="39" t="s">
        <v>105</v>
      </c>
      <c r="E15" s="38" t="s">
        <v>255</v>
      </c>
    </row>
    <row r="16" spans="1:5" ht="25.5" customHeight="1" x14ac:dyDescent="0.25">
      <c r="A16" s="38" t="s">
        <v>256</v>
      </c>
      <c r="B16" s="39" t="s">
        <v>257</v>
      </c>
      <c r="C16" s="39" t="s">
        <v>258</v>
      </c>
      <c r="D16" s="39" t="s">
        <v>105</v>
      </c>
      <c r="E16" s="38" t="s">
        <v>259</v>
      </c>
    </row>
    <row r="17" spans="1:5" ht="15" customHeight="1" x14ac:dyDescent="0.25">
      <c r="A17" s="38" t="s">
        <v>260</v>
      </c>
      <c r="B17" s="39" t="s">
        <v>147</v>
      </c>
      <c r="C17" s="39" t="s">
        <v>261</v>
      </c>
      <c r="D17" s="39" t="s">
        <v>37</v>
      </c>
      <c r="E17" s="38" t="s">
        <v>262</v>
      </c>
    </row>
    <row r="18" spans="1:5" ht="15" customHeight="1" x14ac:dyDescent="0.25">
      <c r="A18" s="38" t="s">
        <v>263</v>
      </c>
      <c r="B18" s="39" t="s">
        <v>147</v>
      </c>
      <c r="C18" s="39" t="s">
        <v>264</v>
      </c>
      <c r="D18" s="39" t="s">
        <v>105</v>
      </c>
      <c r="E18" s="38" t="s">
        <v>265</v>
      </c>
    </row>
    <row r="19" spans="1:5" ht="15" customHeight="1" x14ac:dyDescent="0.25">
      <c r="A19" s="38" t="s">
        <v>266</v>
      </c>
      <c r="B19" s="39" t="s">
        <v>147</v>
      </c>
      <c r="C19" s="39" t="s">
        <v>267</v>
      </c>
      <c r="D19" s="39" t="s">
        <v>62</v>
      </c>
      <c r="E19" s="38" t="s">
        <v>268</v>
      </c>
    </row>
    <row r="20" spans="1:5" ht="15" customHeight="1" x14ac:dyDescent="0.25">
      <c r="A20" s="38" t="s">
        <v>269</v>
      </c>
      <c r="B20" s="39" t="s">
        <v>147</v>
      </c>
      <c r="C20" s="39" t="s">
        <v>270</v>
      </c>
      <c r="D20" s="39" t="s">
        <v>62</v>
      </c>
      <c r="E20" s="38" t="s">
        <v>271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Gantt Chart (daily)</vt:lpstr>
      <vt:lpstr>Lists</vt:lpstr>
      <vt:lpstr>Outline vs Actual</vt:lpstr>
      <vt:lpstr>'Gantt Chart (daily)'!Print_Area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FLINSTON STEVE</cp:lastModifiedBy>
  <cp:revision>0</cp:revision>
  <dcterms:created xsi:type="dcterms:W3CDTF">2026-10-08T14:40:05Z</dcterms:created>
  <dcterms:modified xsi:type="dcterms:W3CDTF">2026-10-31T09:32:28Z</dcterms:modified>
  <dc:language>en-US</dc:language>
</cp:coreProperties>
</file>