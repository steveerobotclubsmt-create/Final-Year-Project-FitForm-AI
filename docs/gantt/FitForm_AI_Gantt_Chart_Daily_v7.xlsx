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 (daily)" sheetId="1" state="visible" r:id="rId3"/>
    <sheet name="Lists" sheetId="2" state="hidden" r:id="rId4"/>
    <sheet name="Outline vs Actual" sheetId="3" state="visible" r:id="rId5"/>
  </sheets>
  <definedNames>
    <definedName function="false" hidden="false" localSheetId="0" name="_xlnm.Print_Area" vbProcedure="false">'Gantt Chart (daily)'!$A$1:$CH$101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<sst xmlns="http://schemas.openxmlformats.org/spreadsheetml/2006/main" count="583" uniqueCount="272">
  <si>
    <t xml:space="preserve">FitForm AI - Project Gantt Chart (daily), IMP Part B</t>
  </si>
  <si>
    <t xml:space="preserve">Steve Flinston (24123119) | 6FTC2062 Individual Major Project | Supervisor: Wong Kim Siong | Updated 31 Oct 2026 (after Session 3)</t>
  </si>
  <si>
    <t xml:space="preserve">Task Name</t>
  </si>
  <si>
    <t xml:space="preserve">Outline
week</t>
  </si>
  <si>
    <t xml:space="preserve">Start</t>
  </si>
  <si>
    <t xml:space="preserve">End</t>
  </si>
  <si>
    <t xml:space="preserve">Days</t>
  </si>
  <si>
    <t xml:space="preserve">Status</t>
  </si>
  <si>
    <t xml:space="preserve">September 2026</t>
  </si>
  <si>
    <t xml:space="preserve">October 2026</t>
  </si>
  <si>
    <t xml:space="preserve">November 2026</t>
  </si>
  <si>
    <t xml:space="preserve">Dec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</si>
  <si>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</si>
  <si>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</si>
  <si>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</si>
  <si>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</si>
  <si>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</si>
  <si>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</si>
  <si>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</si>
  <si>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</si>
  <si>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</si>
  <si>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</si>
  <si>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</si>
  <si>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</si>
  <si>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M</t>
  </si>
  <si>
    <t xml:space="preserve">T</t>
  </si>
  <si>
    <t xml:space="preserve">W</t>
  </si>
  <si>
    <t xml:space="preserve">F</t>
  </si>
  <si>
    <t xml:space="preserve">S</t>
  </si>
  <si>
    <t xml:space="preserve">Start date</t>
  </si>
  <si>
    <t xml:space="preserve">End date</t>
  </si>
  <si>
    <t xml:space="preserve">1. Set up Python 3.11 virtual environment (Raspberry Pi OS + laptop)</t>
  </si>
  <si>
    <t xml:space="preserve">W1</t>
  </si>
  <si>
    <t xml:space="preserve">Heading</t>
  </si>
  <si>
    <t xml:space="preserve">Install Raspberry Pi OS on the microSD card; first boot of the Pi 5</t>
  </si>
  <si>
    <t xml:space="preserve">14 Sep</t>
  </si>
  <si>
    <t xml:space="preserve">16 Sep</t>
  </si>
  <si>
    <t xml:space="preserve">Done</t>
  </si>
  <si>
    <t xml:space="preserve">Task</t>
  </si>
  <si>
    <t xml:space="preserve">Laptop Python environment; fix library version error</t>
  </si>
  <si>
    <t xml:space="preserve">18 Sep</t>
  </si>
  <si>
    <t xml:space="preserve">Pi 5 Python 3.12 virtual environment with uv (OS ships Python 3.13)</t>
  </si>
  <si>
    <t xml:space="preserve">28 Sep</t>
  </si>
  <si>
    <t xml:space="preserve">2 Oct</t>
  </si>
  <si>
    <t xml:space="preserve">2. Install and configure OpenCV</t>
  </si>
  <si>
    <t xml:space="preserve">W2</t>
  </si>
  <si>
    <t xml:space="preserve">Install OpenCV 4.11 on the laptop; test the webcam</t>
  </si>
  <si>
    <t xml:space="preserve">Install OpenCV on the Pi 5; remove conflicting builds</t>
  </si>
  <si>
    <t xml:space="preserve">30 Sep</t>
  </si>
  <si>
    <t xml:space="preserve">3. Install and configure MediaPipe; test camera feed and GPIO wiring for LED/buzzer</t>
  </si>
  <si>
    <t xml:space="preserve">W3</t>
  </si>
  <si>
    <t xml:space="preserve">Install MediaPipe on the laptop; test pose on the webcam</t>
  </si>
  <si>
    <t xml:space="preserve">17 Sep</t>
  </si>
  <si>
    <t xml:space="preserve">19 Sep</t>
  </si>
  <si>
    <t xml:space="preserve">Install MediaPipe 0.10.18 on the Pi 5; run the logic tests</t>
  </si>
  <si>
    <t xml:space="preserve">1 Oct</t>
  </si>
  <si>
    <t xml:space="preserve">3 Oct</t>
  </si>
  <si>
    <t xml:space="preserve">Pi camera support (rpicam) and AI Camera firmware</t>
  </si>
  <si>
    <t xml:space="preserve">7 Oct</t>
  </si>
  <si>
    <t xml:space="preserve">GPIO wiring test of the LEDs and buzzer on the breadboard (moved)</t>
  </si>
  <si>
    <t xml:space="preserve">2 Nov</t>
  </si>
  <si>
    <t xml:space="preserve">4 Nov</t>
  </si>
  <si>
    <t xml:space="preserve">Not started</t>
  </si>
  <si>
    <t xml:space="preserve">4. Develop MediaPipe Pose landmark extraction (shoulder, elbow, wrist, hip coordinates)</t>
  </si>
  <si>
    <t xml:space="preserve">W4</t>
  </si>
  <si>
    <t xml:space="preserve">Restructure the prototype into modules (pose_engine.py)</t>
  </si>
  <si>
    <t xml:space="preserve">25 Sep</t>
  </si>
  <si>
    <t xml:space="preserve">Use MediaPipe 3D world landmarks (view-independent)</t>
  </si>
  <si>
    <t xml:space="preserve">5 Oct</t>
  </si>
  <si>
    <t xml:space="preserve">5. Implement joint-angle calculation functions (elbow, torso, wrist angles)</t>
  </si>
  <si>
    <t xml:space="preserve">W5</t>
  </si>
  <si>
    <t xml:space="preserve">Elbow angle and upper-arm drift check (replaces hip swing check)</t>
  </si>
  <si>
    <t xml:space="preserve">Wrist angle from the hand knuckles (MediaPipe Hands)</t>
  </si>
  <si>
    <t xml:space="preserve">8 Oct</t>
  </si>
  <si>
    <t xml:space="preserve">6. Build the bicep curl rep-counting state machine with form-validation checks</t>
  </si>
  <si>
    <t xml:space="preserve">W6</t>
  </si>
  <si>
    <t xml:space="preserve">State machine for left and right arms (laptop test)</t>
  </si>
  <si>
    <t xml:space="preserve">21 Sep</t>
  </si>
  <si>
    <t xml:space="preserve">26 Sep</t>
  </si>
  <si>
    <t xml:space="preserve">Clenched-fist check with MediaPipe Hands</t>
  </si>
  <si>
    <t xml:space="preserve">6 Oct</t>
  </si>
  <si>
    <t xml:space="preserve">Fix live rep counting on the Pi using the debug view</t>
  </si>
  <si>
    <t xml:space="preserve">22 Oct</t>
  </si>
  <si>
    <t xml:space="preserve">Fist direction: per-arm calibration from labelled runs; tip instead of reject</t>
  </si>
  <si>
    <t xml:space="preserve">15 Oct</t>
  </si>
  <si>
    <t xml:space="preserve">21 Oct</t>
  </si>
  <si>
    <t xml:space="preserve">Pause after a rejected rep with fix text; walk-away ends the session</t>
  </si>
  <si>
    <t xml:space="preserve">20 Oct</t>
  </si>
  <si>
    <t xml:space="preserve">Wrist-height tempo and lowering-speed check</t>
  </si>
  <si>
    <t xml:space="preserve">26 Oct</t>
  </si>
  <si>
    <t xml:space="preserve">27 Oct</t>
  </si>
  <si>
    <t xml:space="preserve">7. Test OpenCV/MediaPipe detection under varying lighting conditions</t>
  </si>
  <si>
    <t xml:space="preserve">W7</t>
  </si>
  <si>
    <t xml:space="preserve">Record test clips for repeatable testing (tools/record_clips.py)</t>
  </si>
  <si>
    <t xml:space="preserve">Lighting tests (bright, dim, backlit) and record results</t>
  </si>
  <si>
    <t xml:space="preserve">9 Nov</t>
  </si>
  <si>
    <t xml:space="preserve">11 Nov</t>
  </si>
  <si>
    <t xml:space="preserve">8. Test detection under varying distances/backgrounds; tune thresholds for stability</t>
  </si>
  <si>
    <t xml:space="preserve">W8</t>
  </si>
  <si>
    <t xml:space="preserve">Tune angle, visibility and confidence thresholds</t>
  </si>
  <si>
    <t xml:space="preserve">Distance and background tests and record results</t>
  </si>
  <si>
    <t xml:space="preserve">10 Nov</t>
  </si>
  <si>
    <t xml:space="preserve">12 Nov</t>
  </si>
  <si>
    <t xml:space="preserve">Frame-rate check on the Pi 5 (CNN every 3rd frame, camera watchdog)</t>
  </si>
  <si>
    <t xml:space="preserve">6 Nov</t>
  </si>
  <si>
    <t xml:space="preserve">In progress</t>
  </si>
  <si>
    <t xml:space="preserve">9. Develop supporting modules: display overlay, GPIO feedback, calorie tracking, session logging (CSV)</t>
  </si>
  <si>
    <t xml:space="preserve">W9</t>
  </si>
  <si>
    <t xml:space="preserve">On-screen overlay, debug view, start-up demo and full screen</t>
  </si>
  <si>
    <t xml:space="preserve">Calorie estimate (MET 3.5, 2024 Compendium) and session summary</t>
  </si>
  <si>
    <t xml:space="preserve">CSV session log and Flask phone app: accounts, QR login, history</t>
  </si>
  <si>
    <t xml:space="preserve">Goal for the next session from guidelines (ACSM 2009, WHO 2020)</t>
  </si>
  <si>
    <t xml:space="preserve">19 Oct</t>
  </si>
  <si>
    <t xml:space="preserve">GPIO feedback module with the LEDs and buzzer (moved)</t>
  </si>
  <si>
    <t xml:space="preserve">10. Design and 3D print the Raspberry Pi/display/LED enclosure (Bambu Lab X1 Carbon, PLA)</t>
  </si>
  <si>
    <t xml:space="preserve">W10</t>
  </si>
  <si>
    <t xml:space="preserve">Enclosure CAD in Fusion 360 (tray, port openings, hinged lid)</t>
  </si>
  <si>
    <t xml:space="preserve">Polished design (supervisor): rounded shape, camera mounts, cable routing, logo</t>
  </si>
  <si>
    <t xml:space="preserve">8 Nov</t>
  </si>
  <si>
    <t xml:space="preserve">Test-print one section and check the fit</t>
  </si>
  <si>
    <t xml:space="preserve">7 Nov</t>
  </si>
  <si>
    <t xml:space="preserve">Print the full enclosure and finish it (sanding, two colours)</t>
  </si>
  <si>
    <t xml:space="preserve">13 Nov</t>
  </si>
  <si>
    <t xml:space="preserve">11. Assemble hardware into the enclosure; integrate pipeline on Raspberry Pi 5 (camera, GPIO, Flask endpoint)</t>
  </si>
  <si>
    <t xml:space="preserve">W11</t>
  </si>
  <si>
    <t xml:space="preserve">Integrate the software on the Pi (both cameras, Flask app)</t>
  </si>
  <si>
    <t xml:space="preserve">Mount the Pi, cameras, LEDs and buzzer in the enclosure</t>
  </si>
  <si>
    <t xml:space="preserve">15 Nov</t>
  </si>
  <si>
    <t xml:space="preserve">12. End-to-end system testing and accuracy/reliability evaluation; write and finalise report; submission buffer</t>
  </si>
  <si>
    <t xml:space="preserve">W12</t>
  </si>
  <si>
    <t xml:space="preserve">Repeated test sessions: automated vs manually counted reps</t>
  </si>
  <si>
    <t xml:space="preserve">14 Nov</t>
  </si>
  <si>
    <t xml:space="preserve">Fix issues found; software and hardware complete (code freeze)</t>
  </si>
  <si>
    <t xml:space="preserve">Demo videos on Google Drive (bicep curl, exit session)</t>
  </si>
  <si>
    <t xml:space="preserve">28 Oct</t>
  </si>
  <si>
    <t xml:space="preserve">Final demo video and results for the report</t>
  </si>
  <si>
    <t xml:space="preserve">16 Nov</t>
  </si>
  <si>
    <t xml:space="preserve">Report: introduction, literature review, methodology</t>
  </si>
  <si>
    <t xml:space="preserve">Report: results, discussion, conclusions</t>
  </si>
  <si>
    <t xml:space="preserve">20 Nov</t>
  </si>
  <si>
    <t xml:space="preserve">Report: project management and quality management review</t>
  </si>
  <si>
    <t xml:space="preserve">17 Nov</t>
  </si>
  <si>
    <t xml:space="preserve">21 Nov</t>
  </si>
  <si>
    <t xml:space="preserve">Proofread, similarity check (&lt;20%), submit (buffer)</t>
  </si>
  <si>
    <t xml:space="preserve">22 Nov</t>
  </si>
  <si>
    <t xml:space="preserve">25 Nov</t>
  </si>
  <si>
    <t xml:space="preserve">13. Prepare VIVA slides and rehearse the demo (added)</t>
  </si>
  <si>
    <t xml:space="preserve">-</t>
  </si>
  <si>
    <t xml:space="preserve">Prepare the 8 VIVA slides</t>
  </si>
  <si>
    <t xml:space="preserve">26 Nov</t>
  </si>
  <si>
    <t xml:space="preserve">30 Nov</t>
  </si>
  <si>
    <t xml:space="preserve">Rehearse the presentation and live demo</t>
  </si>
  <si>
    <t xml:space="preserve">28 Nov</t>
  </si>
  <si>
    <t xml:space="preserve">1 Dec</t>
  </si>
  <si>
    <t xml:space="preserve">14. Two-camera approach (added)</t>
  </si>
  <si>
    <t xml:space="preserve">AI Camera at the front + USB webcam at the side; fist/palm from both views</t>
  </si>
  <si>
    <t xml:space="preserve">12 Oct</t>
  </si>
  <si>
    <t xml:space="preserve">Find the cameras automatically (front / side)</t>
  </si>
  <si>
    <t xml:space="preserve">Review at Session 3: fist direction left as a limitation</t>
  </si>
  <si>
    <t xml:space="preserve">15. Weight-in-hand CNN (added)</t>
  </si>
  <si>
    <t xml:space="preserve">Collect labelled hand crops (about 9,500, front + side)</t>
  </si>
  <si>
    <t xml:space="preserve">Fine-tune MobileNetV3-Small, export ONNX, run with OpenCV (98.5 %)</t>
  </si>
  <si>
    <t xml:space="preserve">Feasibility test: AI Camera on-chip object detector</t>
  </si>
  <si>
    <t xml:space="preserve">31 Oct</t>
  </si>
  <si>
    <t xml:space="preserve">Round 3 data: 3D-printed dumbbell, other objects and people</t>
  </si>
  <si>
    <t xml:space="preserve">3 Nov</t>
  </si>
  <si>
    <t xml:space="preserve">16. Extra features suggested by the supervisor at Session 3 (added)</t>
  </si>
  <si>
    <t xml:space="preserve">Personalised session report (PDF from the phone app)</t>
  </si>
  <si>
    <t xml:space="preserve">Speech-to-text voice commands (start, stop, summary) - offline</t>
  </si>
  <si>
    <t xml:space="preserve">5 Nov</t>
  </si>
  <si>
    <t xml:space="preserve">Polished 3D chassis - see task 10</t>
  </si>
  <si>
    <t xml:space="preserve">17. Battery power - if time allows (added)</t>
  </si>
  <si>
    <t xml:space="preserve">Battery path (fuse, SB560 diode, HW-688) and load test  (optional)</t>
  </si>
  <si>
    <t xml:space="preserve">Yes</t>
  </si>
  <si>
    <t xml:space="preserve">Milestones</t>
  </si>
  <si>
    <t xml:space="preserve">Heading2</t>
  </si>
  <si>
    <t xml:space="preserve">◆ Session 1 - Project review 1 (Logbook 5)</t>
  </si>
  <si>
    <t xml:space="preserve">23 Sep</t>
  </si>
  <si>
    <t xml:space="preserve">Milestone</t>
  </si>
  <si>
    <t xml:space="preserve">◆ Session 2 - Project review 2 (Logbook 6)</t>
  </si>
  <si>
    <t xml:space="preserve">◆ Software target - reps counted reliably on the Pi</t>
  </si>
  <si>
    <t xml:space="preserve">◆ Session 3 - Project review 3 (Logbook 7)</t>
  </si>
  <si>
    <t xml:space="preserve">◆ Software and hardware complete (code freeze)</t>
  </si>
  <si>
    <t xml:space="preserve">◆ Session 4 - Project review 4 (Logbook 8)</t>
  </si>
  <si>
    <t xml:space="preserve">18 Nov</t>
  </si>
  <si>
    <t xml:space="preserve">◆ Final project report submission</t>
  </si>
  <si>
    <t xml:space="preserve">◆ VIVA slides submission</t>
  </si>
  <si>
    <t xml:space="preserve">◆ Project defence (VIVA) and demo</t>
  </si>
  <si>
    <t xml:space="preserve">2 Dec</t>
  </si>
  <si>
    <t xml:space="preserve">Legend</t>
  </si>
  <si>
    <t xml:space="preserve">Heading (outline task) - span of its subtasks</t>
  </si>
  <si>
    <t xml:space="preserve">Planned</t>
  </si>
  <si>
    <t xml:space="preserve">Optional / still in development</t>
  </si>
  <si>
    <t xml:space="preserve">Weekend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</si>
  <si>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</si>
  <si>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</si>
  <si>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</si>
  <si>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</si>
  <si>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</si>
  <si>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</si>
  <si>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</si>
  <si>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</si>
  <si>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</si>
  <si>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</si>
  <si>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</si>
  <si>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Comparison with the Project Outline Gantt chart (Appendix A)</t>
  </si>
  <si>
    <t xml:space="preserve">Term week 1 = 14-20 Sep 2026, so outline week Wn = the n-th week from 14 Sep.</t>
  </si>
  <si>
    <t xml:space="preserve">Outline task</t>
  </si>
  <si>
    <t xml:space="preserve">Outline week (dates)</t>
  </si>
  <si>
    <t xml:space="preserve">Updated span</t>
  </si>
  <si>
    <t xml:space="preserve">Status (31 Oct)</t>
  </si>
  <si>
    <t xml:space="preserve">Change and reason</t>
  </si>
  <si>
    <t xml:space="preserve">Set up Python 3.11 virtual environment (Raspberry Pi OS + laptop)</t>
  </si>
  <si>
    <t xml:space="preserve">W1 (14 Sep - 20 Sep)</t>
  </si>
  <si>
    <t xml:space="preserve">14 Sep - 02 Oct</t>
  </si>
  <si>
    <t xml:space="preserve">Took longer: Raspberry Pi OS Trixie ships Python 3.13, which MediaPipe does not support, so a Python 3.12 environment was made with uv.</t>
  </si>
  <si>
    <t xml:space="preserve">Install and configure OpenCV</t>
  </si>
  <si>
    <t xml:space="preserve">W2 (21 Sep - 27 Sep)</t>
  </si>
  <si>
    <t xml:space="preserve">16 Sep - 02 Oct</t>
  </si>
  <si>
    <t xml:space="preserve">Laptop done in W1; the Pi part was done together with task 1 in W3.</t>
  </si>
  <si>
    <t xml:space="preserve">Install and configure MediaPipe; test camera feed and GPIO wiring for LED/buzzer</t>
  </si>
  <si>
    <t xml:space="preserve">W3 (28 Sep - 04 Oct)</t>
  </si>
  <si>
    <t xml:space="preserve">17 Sep - 04 Nov</t>
  </si>
  <si>
    <t xml:space="preserve">MediaPipe and camera done (AI Camera needed its firmware). GPIO wiring moved to early November to keep the focus on the software (critical path).</t>
  </si>
  <si>
    <t xml:space="preserve">Develop MediaPipe Pose landmark extraction (shoulder, elbow, wrist, hip coordinates)</t>
  </si>
  <si>
    <t xml:space="preserve">W4 (05 Oct - 11 Oct)</t>
  </si>
  <si>
    <t xml:space="preserve">19 Sep - 07 Oct</t>
  </si>
  <si>
    <t xml:space="preserve">Done early on the laptop (W1-W2); 3D landmarks added in W4.</t>
  </si>
  <si>
    <t xml:space="preserve">Implement joint-angle calculation functions (elbow, torso, wrist angles)</t>
  </si>
  <si>
    <t xml:space="preserve">W5 (12 Oct - 18 Oct)</t>
  </si>
  <si>
    <t xml:space="preserve">05 Oct - 08 Oct</t>
  </si>
  <si>
    <t xml:space="preserve">Done in W4; wrist angle from the hand knuckles; hip angle replaced by an upper-arm drift check because the hips are often out of view.</t>
  </si>
  <si>
    <t xml:space="preserve">Build the bicep curl rep-counting state machine with form-validation checks</t>
  </si>
  <si>
    <t xml:space="preserve">W6 (19 Oct - 25 Oct)</t>
  </si>
  <si>
    <t xml:space="preserve">21 Sep - 27 Oct</t>
  </si>
  <si>
    <t xml:space="preserve">Started early on the laptop (W2); live counting on the Pi took until 22 Oct. Fist direction could not be judged reliably from one camera; agreed with the supervisor to leave it as a limitation (advice only).</t>
  </si>
  <si>
    <t xml:space="preserve">Test OpenCV/MediaPipe detection under varying lighting conditions</t>
  </si>
  <si>
    <t xml:space="preserve">W7 (26 Oct - 01 Nov)</t>
  </si>
  <si>
    <t xml:space="preserve">20 Oct - 11 Nov</t>
  </si>
  <si>
    <t xml:space="preserve">Test clips recorded in W6 so every change is tested on the same video; the formal lighting tests are run in W9 with the finished system.</t>
  </si>
  <si>
    <t xml:space="preserve">Test detection under varying distances/backgrounds; tune thresholds for stability</t>
  </si>
  <si>
    <t xml:space="preserve">W8 (02 Nov - 08 Nov)</t>
  </si>
  <si>
    <t xml:space="preserve">08 Oct - 12 Nov</t>
  </si>
  <si>
    <t xml:space="preserve">Threshold tuning started early (W4) because counting did not work on the Pi; distance/background tests in W9.</t>
  </si>
  <si>
    <t xml:space="preserve">Develop supporting modules: display overlay, GPIO feedback, calorie tracking, session logging (CSV)</t>
  </si>
  <si>
    <t xml:space="preserve">W9 (09 Nov - 15 Nov)</t>
  </si>
  <si>
    <t xml:space="preserve">21 Sep - 06 Nov</t>
  </si>
  <si>
    <t xml:space="preserve">Grew in scope: the CSV log became a Flask phone app with accounts, QR login, session history, calorie chart and a goal for the next session (W5-W7). GPIO feedback moved to W8.</t>
  </si>
  <si>
    <t xml:space="preserve">Design and 3D print the Raspberry Pi/display/LED enclosure (Bambu Lab X1 Carbon, PLA)</t>
  </si>
  <si>
    <t xml:space="preserve">W10 (16 Nov - 22 Nov)</t>
  </si>
  <si>
    <t xml:space="preserve">02 Oct - 13 Nov</t>
  </si>
  <si>
    <t xml:space="preserve">CAD started early but paused while the software was fixed; the supervisor asked for a polished chassis, so the redesign and printing are W8-W9.</t>
  </si>
  <si>
    <t xml:space="preserve">Assemble hardware into the enclosure; integrate pipeline on Raspberry Pi 5 (camera, GPIO, Flask endpoint)</t>
  </si>
  <si>
    <t xml:space="preserve">W11 (23 Nov - 29 Nov)</t>
  </si>
  <si>
    <t xml:space="preserve">21 Oct - 15 Nov</t>
  </si>
  <si>
    <t xml:space="preserve">Software integration on the Pi finished in W6-W7 (both cameras, phone app); mounting in the enclosure in W9.</t>
  </si>
  <si>
    <t xml:space="preserve">End-to-end system testing and accuracy/reliability evaluation; write and finalise report; submission buffer</t>
  </si>
  <si>
    <t xml:space="preserve">W12 (30 Nov - 06 Dec)</t>
  </si>
  <si>
    <t xml:space="preserve">27 Oct - 25 Nov</t>
  </si>
  <si>
    <t xml:space="preserve">Demo videos already recorded (W7). Report writing starts in W8 so it is not left to the end; code freeze 15 Nov, report due 25 Nov.</t>
  </si>
  <si>
    <t xml:space="preserve">Two-camera approach (added)</t>
  </si>
  <si>
    <t xml:space="preserve">12 Oct - 28 Oct</t>
  </si>
  <si>
    <t xml:space="preserve">Added to judge the fist and palm from the side; reviewed at Session 3.</t>
  </si>
  <si>
    <t xml:space="preserve">Weight-in-hand CNN (added)</t>
  </si>
  <si>
    <t xml:space="preserve">27 Oct - 10 Nov</t>
  </si>
  <si>
    <t xml:space="preserve">Added to check that a weight is held; 98.5 % on a new session; more data with a dumbbell next.</t>
  </si>
  <si>
    <t xml:space="preserve">Supervisor's extra features (added)</t>
  </si>
  <si>
    <t xml:space="preserve">02 Nov - 13 Nov</t>
  </si>
  <si>
    <t xml:space="preserve">Personalised report, speech-to-text and a polished chassis, suggested at Session 3.</t>
  </si>
  <si>
    <t xml:space="preserve">VIVA slides and rehearsal (added)</t>
  </si>
  <si>
    <t xml:space="preserve">26 Nov - 01 Dec</t>
  </si>
  <si>
    <t xml:space="preserve">Not in the outline; slides due 30 Nov, VIVA 2 Dec.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</si>
</sst>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"/>
    <numFmt numFmtId="166" formatCode="@"/>
    <numFmt numFmtId="167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3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sz val="8"/>
      <color rgb="FF000000"/>
      <name val="Arial"/>
      <family val="0"/>
      <charset val="1"/>
    </font>
    <font>
      <sz val="7"/>
      <color rgb="FF595959"/>
      <name val="Arial"/>
      <family val="0"/>
      <charset val="1"/>
    </font>
    <font>
      <b val="true"/>
      <sz val="9.5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.5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D9E2F3"/>
        <bgColor rgb="FFE7E6E6"/>
      </patternFill>
    </fill>
    <fill>
      <patternFill patternType="solid">
        <fgColor rgb="FFE7E6E6"/>
        <bgColor rgb="FFEDEDED"/>
      </patternFill>
    </fill>
    <fill>
      <patternFill patternType="solid">
        <fgColor rgb="FFBFBFBF"/>
        <bgColor rgb="FFBDD7EE"/>
      </patternFill>
    </fill>
    <fill>
      <patternFill patternType="solid">
        <fgColor rgb="FFF2F2F2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rgb="FF29ABE2"/>
        <bgColor rgb="FF00CCFF"/>
      </patternFill>
    </fill>
    <fill>
      <patternFill patternType="solid">
        <fgColor rgb="FFBDD7EE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EDEDE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rgb="FFC00000"/>
        </patternFill>
      </fill>
    </dxf>
    <dxf>
      <fill>
        <patternFill>
          <bgColor rgb="FF1F3864"/>
        </patternFill>
      </fill>
    </dxf>
    <dxf>
      <fill>
        <patternFill>
          <bgColor rgb="FFD9D9D9"/>
        </patternFill>
      </fill>
    </dxf>
    <dxf>
      <fill>
        <patternFill>
          <bgColor rgb="FF70AD47"/>
        </patternFill>
      </fill>
    </dxf>
    <dxf>
      <fill>
        <patternFill>
          <bgColor rgb="FFFFC000"/>
        </patternFill>
      </fill>
    </dxf>
    <dxf>
      <fill>
        <patternFill>
          <bgColor rgb="FFBDD7EE"/>
        </patternFill>
      </fill>
    </dxf>
    <dxf>
      <fill>
        <patternFill>
          <bgColor rgb="FF29ABE2"/>
        </patternFill>
      </fill>
    </dxf>
    <dxf>
      <fill>
        <patternFill>
          <bgColor rgb="FFEDEDED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070C0"/>
        </patternFill>
      </fill>
    </dxf>
    <dxf>
      <font>
        <name val="Arial"/>
        <charset val="1"/>
        <family val="0"/>
        <color rgb="FFFFFFFF"/>
      </font>
      <fill>
        <patternFill>
          <bgColor rgb="FF0070C0"/>
        </patternFill>
      </fill>
    </dxf>
    <dxf>
      <fill>
        <patternFill>
          <bgColor rgb="FFD9E2F3"/>
        </patternFill>
      </fill>
    </dxf>
    <dxf>
      <fill>
        <patternFill>
          <bgColor rgb="FFBFBFBF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DEDED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E7E6E6"/>
      <rgbColor rgb="FFFF99CC"/>
      <rgbColor rgb="FFCC99FF"/>
      <rgbColor rgb="FFD9D9D9"/>
      <rgbColor rgb="FF3366FF"/>
      <rgbColor rgb="FF29ABE2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M101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6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A10" activeCellId="0" sqref="A1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6"/>
    <col collapsed="false" customWidth="true" hidden="false" outlineLevel="0" max="2" min="2" style="1" width="8"/>
    <col collapsed="false" customWidth="true" hidden="false" outlineLevel="0" max="4" min="3" style="1" width="9.57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85" min="7" style="1" width="3.42"/>
    <col collapsed="false" customWidth="true" hidden="false" outlineLevel="0" max="86" min="86" style="1" width="5.86"/>
    <col collapsed="false" customWidth="true" hidden="true" outlineLevel="0" max="91" min="88" style="1" width="13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</row>
    <row r="5" customFormat="false" ht="15" hidden="true" customHeight="true" outlineLevel="0" collapsed="false">
      <c r="G5" s="5" t="n">
        <v>46279</v>
      </c>
      <c r="H5" s="5" t="n">
        <v>46280</v>
      </c>
      <c r="I5" s="5" t="n">
        <v>46281</v>
      </c>
      <c r="J5" s="5" t="n">
        <v>46282</v>
      </c>
      <c r="K5" s="5" t="n">
        <v>46283</v>
      </c>
      <c r="L5" s="5" t="n">
        <v>46284</v>
      </c>
      <c r="M5" s="5" t="n">
        <v>46285</v>
      </c>
      <c r="N5" s="5" t="n">
        <v>46286</v>
      </c>
      <c r="O5" s="5" t="n">
        <v>46287</v>
      </c>
      <c r="P5" s="5" t="n">
        <v>46288</v>
      </c>
      <c r="Q5" s="5" t="n">
        <v>46289</v>
      </c>
      <c r="R5" s="5" t="n">
        <v>46290</v>
      </c>
      <c r="S5" s="5" t="n">
        <v>46291</v>
      </c>
      <c r="T5" s="5" t="n">
        <v>46292</v>
      </c>
      <c r="U5" s="5" t="n">
        <v>46293</v>
      </c>
      <c r="V5" s="5" t="n">
        <v>46294</v>
      </c>
      <c r="W5" s="5" t="n">
        <v>46295</v>
      </c>
      <c r="X5" s="5" t="n">
        <v>46296</v>
      </c>
      <c r="Y5" s="5" t="n">
        <v>46297</v>
      </c>
      <c r="Z5" s="5" t="n">
        <v>46298</v>
      </c>
      <c r="AA5" s="5" t="n">
        <v>46299</v>
      </c>
      <c r="AB5" s="5" t="n">
        <v>46300</v>
      </c>
      <c r="AC5" s="5" t="n">
        <v>46301</v>
      </c>
      <c r="AD5" s="5" t="n">
        <v>46302</v>
      </c>
      <c r="AE5" s="5" t="n">
        <v>46303</v>
      </c>
      <c r="AF5" s="5" t="n">
        <v>46304</v>
      </c>
      <c r="AG5" s="5" t="n">
        <v>46305</v>
      </c>
      <c r="AH5" s="5" t="n">
        <v>46306</v>
      </c>
      <c r="AI5" s="5" t="n">
        <v>46307</v>
      </c>
      <c r="AJ5" s="5" t="n">
        <v>46308</v>
      </c>
      <c r="AK5" s="5" t="n">
        <v>46309</v>
      </c>
      <c r="AL5" s="5" t="n">
        <v>46310</v>
      </c>
      <c r="AM5" s="5" t="n">
        <v>46311</v>
      </c>
      <c r="AN5" s="5" t="n">
        <v>46312</v>
      </c>
      <c r="AO5" s="5" t="n">
        <v>46313</v>
      </c>
      <c r="AP5" s="5" t="n">
        <v>46314</v>
      </c>
      <c r="AQ5" s="5" t="n">
        <v>46315</v>
      </c>
      <c r="AR5" s="5" t="n">
        <v>46316</v>
      </c>
      <c r="AS5" s="5" t="n">
        <v>46317</v>
      </c>
      <c r="AT5" s="5" t="n">
        <v>46318</v>
      </c>
      <c r="AU5" s="5" t="n">
        <v>46319</v>
      </c>
      <c r="AV5" s="5" t="n">
        <v>46320</v>
      </c>
      <c r="AW5" s="5" t="n">
        <v>46321</v>
      </c>
      <c r="AX5" s="5" t="n">
        <v>46322</v>
      </c>
      <c r="AY5" s="5" t="n">
        <v>46323</v>
      </c>
      <c r="AZ5" s="5" t="n">
        <v>46324</v>
      </c>
      <c r="BA5" s="5" t="n">
        <v>46325</v>
      </c>
      <c r="BB5" s="5" t="n">
        <v>46326</v>
      </c>
      <c r="BC5" s="5" t="n">
        <v>46327</v>
      </c>
      <c r="BD5" s="5" t="n">
        <v>46328</v>
      </c>
      <c r="BE5" s="5" t="n">
        <v>46329</v>
      </c>
      <c r="BF5" s="5" t="n">
        <v>46330</v>
      </c>
      <c r="BG5" s="5" t="n">
        <v>46331</v>
      </c>
      <c r="BH5" s="5" t="n">
        <v>46332</v>
      </c>
      <c r="BI5" s="5" t="n">
        <v>46333</v>
      </c>
      <c r="BJ5" s="5" t="n">
        <v>46334</v>
      </c>
      <c r="BK5" s="5" t="n">
        <v>46335</v>
      </c>
      <c r="BL5" s="5" t="n">
        <v>46336</v>
      </c>
      <c r="BM5" s="5" t="n">
        <v>46337</v>
      </c>
      <c r="BN5" s="5" t="n">
        <v>46338</v>
      </c>
      <c r="BO5" s="5" t="n">
        <v>46339</v>
      </c>
      <c r="BP5" s="5" t="n">
        <v>46340</v>
      </c>
      <c r="BQ5" s="5" t="n">
        <v>46341</v>
      </c>
      <c r="BR5" s="5" t="n">
        <v>46342</v>
      </c>
      <c r="BS5" s="5" t="n">
        <v>46343</v>
      </c>
      <c r="BT5" s="5" t="n">
        <v>46344</v>
      </c>
      <c r="BU5" s="5" t="n">
        <v>46345</v>
      </c>
      <c r="BV5" s="5" t="n">
        <v>46346</v>
      </c>
      <c r="BW5" s="5" t="n">
        <v>46347</v>
      </c>
      <c r="BX5" s="5" t="n">
        <v>46348</v>
      </c>
      <c r="BY5" s="5" t="n">
        <v>46349</v>
      </c>
      <c r="BZ5" s="5" t="n">
        <v>46350</v>
      </c>
      <c r="CA5" s="5" t="n">
        <v>46351</v>
      </c>
      <c r="CB5" s="5" t="n">
        <v>46352</v>
      </c>
      <c r="CC5" s="5" t="n">
        <v>46353</v>
      </c>
      <c r="CD5" s="5" t="n">
        <v>46354</v>
      </c>
      <c r="CE5" s="5" t="n">
        <v>46355</v>
      </c>
      <c r="CF5" s="5" t="n">
        <v>46356</v>
      </c>
      <c r="CG5" s="5" t="n">
        <v>46357</v>
      </c>
      <c r="CH5" s="5" t="n">
        <v>46358</v>
      </c>
    </row>
    <row r="6" customFormat="false" ht="24" hidden="false" customHeight="true" outlineLevel="0" collapsed="false">
      <c r="A6" s="6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8" t="s">
        <v>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 t="s">
        <v>9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 t="s">
        <v>10</v>
      </c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 t="s">
        <v>11</v>
      </c>
      <c r="CH6" s="8"/>
    </row>
    <row r="7" customFormat="false" ht="15.75" hidden="false" customHeight="true" outlineLevel="0" collapsed="false">
      <c r="A7" s="6"/>
      <c r="B7" s="6"/>
      <c r="C7" s="6"/>
      <c r="D7" s="6"/>
      <c r="E7" s="6"/>
      <c r="F7" s="6"/>
      <c r="G7" s="9" t="s">
        <v>12</v>
      </c>
      <c r="H7" s="9"/>
      <c r="I7" s="9"/>
      <c r="J7" s="9"/>
      <c r="K7" s="9"/>
      <c r="L7" s="9"/>
      <c r="M7" s="9"/>
      <c r="N7" s="9" t="s">
        <v>13</v>
      </c>
      <c r="O7" s="9"/>
      <c r="P7" s="9"/>
      <c r="Q7" s="9"/>
      <c r="R7" s="9"/>
      <c r="S7" s="9"/>
      <c r="T7" s="9"/>
      <c r="U7" s="9" t="s">
        <v>14</v>
      </c>
      <c r="V7" s="9"/>
      <c r="W7" s="9"/>
      <c r="X7" s="9"/>
      <c r="Y7" s="9"/>
      <c r="Z7" s="9"/>
      <c r="AA7" s="9"/>
      <c r="AB7" s="9" t="s">
        <v>15</v>
      </c>
      <c r="AC7" s="9"/>
      <c r="AD7" s="9"/>
      <c r="AE7" s="9"/>
      <c r="AF7" s="9"/>
      <c r="AG7" s="9"/>
      <c r="AH7" s="9"/>
      <c r="AI7" s="9" t="s">
        <v>16</v>
      </c>
      <c r="AJ7" s="9"/>
      <c r="AK7" s="9"/>
      <c r="AL7" s="9"/>
      <c r="AM7" s="9"/>
      <c r="AN7" s="9"/>
      <c r="AO7" s="9"/>
      <c r="AP7" s="9" t="s">
        <v>17</v>
      </c>
      <c r="AQ7" s="9"/>
      <c r="AR7" s="9"/>
      <c r="AS7" s="9"/>
      <c r="AT7" s="9"/>
      <c r="AU7" s="9"/>
      <c r="AV7" s="9"/>
      <c r="AW7" s="9" t="s">
        <v>18</v>
      </c>
      <c r="AX7" s="9"/>
      <c r="AY7" s="9"/>
      <c r="AZ7" s="9"/>
      <c r="BA7" s="9"/>
      <c r="BB7" s="9"/>
      <c r="BC7" s="9"/>
      <c r="BD7" s="9" t="s">
        <v>19</v>
      </c>
      <c r="BE7" s="9"/>
      <c r="BF7" s="9"/>
      <c r="BG7" s="9"/>
      <c r="BH7" s="9"/>
      <c r="BI7" s="9"/>
      <c r="BJ7" s="9"/>
      <c r="BK7" s="9" t="s">
        <v>20</v>
      </c>
      <c r="BL7" s="9"/>
      <c r="BM7" s="9"/>
      <c r="BN7" s="9"/>
      <c r="BO7" s="9"/>
      <c r="BP7" s="9"/>
      <c r="BQ7" s="9"/>
      <c r="BR7" s="9" t="s">
        <v>21</v>
      </c>
      <c r="BS7" s="9"/>
      <c r="BT7" s="9"/>
      <c r="BU7" s="9"/>
      <c r="BV7" s="9"/>
      <c r="BW7" s="9"/>
      <c r="BX7" s="9"/>
      <c r="BY7" s="9" t="s">
        <v>22</v>
      </c>
      <c r="BZ7" s="9"/>
      <c r="CA7" s="9"/>
      <c r="CB7" s="9"/>
      <c r="CC7" s="9"/>
      <c r="CD7" s="9"/>
      <c r="CE7" s="9"/>
      <c r="CF7" s="9" t="s">
        <v>23</v>
      </c>
      <c r="CG7" s="9"/>
      <c r="CH7" s="9"/>
    </row>
    <row r="8" customFormat="false" ht="13.5" hidden="false" customHeight="true" outlineLevel="0" collapsed="false">
      <c r="A8" s="6"/>
      <c r="B8" s="6"/>
      <c r="C8" s="6"/>
      <c r="D8" s="6"/>
      <c r="E8" s="6"/>
      <c r="F8" s="6"/>
      <c r="G8" s="10" t="n">
        <v>14</v>
      </c>
      <c r="H8" s="10" t="n">
        <v>15</v>
      </c>
      <c r="I8" s="10" t="n">
        <v>16</v>
      </c>
      <c r="J8" s="10" t="n">
        <v>17</v>
      </c>
      <c r="K8" s="10" t="n">
        <v>18</v>
      </c>
      <c r="L8" s="11" t="n">
        <v>19</v>
      </c>
      <c r="M8" s="11" t="n">
        <v>20</v>
      </c>
      <c r="N8" s="10" t="n">
        <v>21</v>
      </c>
      <c r="O8" s="10" t="n">
        <v>22</v>
      </c>
      <c r="P8" s="10" t="n">
        <v>23</v>
      </c>
      <c r="Q8" s="10" t="n">
        <v>24</v>
      </c>
      <c r="R8" s="10" t="n">
        <v>25</v>
      </c>
      <c r="S8" s="11" t="n">
        <v>26</v>
      </c>
      <c r="T8" s="11" t="n">
        <v>27</v>
      </c>
      <c r="U8" s="10" t="n">
        <v>28</v>
      </c>
      <c r="V8" s="10" t="n">
        <v>29</v>
      </c>
      <c r="W8" s="10" t="n">
        <v>30</v>
      </c>
      <c r="X8" s="10" t="n">
        <v>1</v>
      </c>
      <c r="Y8" s="10" t="n">
        <v>2</v>
      </c>
      <c r="Z8" s="11" t="n">
        <v>3</v>
      </c>
      <c r="AA8" s="11" t="n">
        <v>4</v>
      </c>
      <c r="AB8" s="10" t="n">
        <v>5</v>
      </c>
      <c r="AC8" s="10" t="n">
        <v>6</v>
      </c>
      <c r="AD8" s="10" t="n">
        <v>7</v>
      </c>
      <c r="AE8" s="10" t="n">
        <v>8</v>
      </c>
      <c r="AF8" s="10" t="n">
        <v>9</v>
      </c>
      <c r="AG8" s="11" t="n">
        <v>10</v>
      </c>
      <c r="AH8" s="11" t="n">
        <v>11</v>
      </c>
      <c r="AI8" s="10" t="n">
        <v>12</v>
      </c>
      <c r="AJ8" s="10" t="n">
        <v>13</v>
      </c>
      <c r="AK8" s="10" t="n">
        <v>14</v>
      </c>
      <c r="AL8" s="10" t="n">
        <v>15</v>
      </c>
      <c r="AM8" s="10" t="n">
        <v>16</v>
      </c>
      <c r="AN8" s="11" t="n">
        <v>17</v>
      </c>
      <c r="AO8" s="11" t="n">
        <v>18</v>
      </c>
      <c r="AP8" s="10" t="n">
        <v>19</v>
      </c>
      <c r="AQ8" s="10" t="n">
        <v>20</v>
      </c>
      <c r="AR8" s="10" t="n">
        <v>21</v>
      </c>
      <c r="AS8" s="10" t="n">
        <v>22</v>
      </c>
      <c r="AT8" s="10" t="n">
        <v>23</v>
      </c>
      <c r="AU8" s="11" t="n">
        <v>24</v>
      </c>
      <c r="AV8" s="11" t="n">
        <v>25</v>
      </c>
      <c r="AW8" s="10" t="n">
        <v>26</v>
      </c>
      <c r="AX8" s="10" t="n">
        <v>27</v>
      </c>
      <c r="AY8" s="10" t="n">
        <v>28</v>
      </c>
      <c r="AZ8" s="10" t="n">
        <v>29</v>
      </c>
      <c r="BA8" s="10" t="n">
        <v>30</v>
      </c>
      <c r="BB8" s="11" t="n">
        <v>31</v>
      </c>
      <c r="BC8" s="11" t="n">
        <v>1</v>
      </c>
      <c r="BD8" s="10" t="n">
        <v>2</v>
      </c>
      <c r="BE8" s="10" t="n">
        <v>3</v>
      </c>
      <c r="BF8" s="10" t="n">
        <v>4</v>
      </c>
      <c r="BG8" s="10" t="n">
        <v>5</v>
      </c>
      <c r="BH8" s="10" t="n">
        <v>6</v>
      </c>
      <c r="BI8" s="11" t="n">
        <v>7</v>
      </c>
      <c r="BJ8" s="11" t="n">
        <v>8</v>
      </c>
      <c r="BK8" s="10" t="n">
        <v>9</v>
      </c>
      <c r="BL8" s="10" t="n">
        <v>10</v>
      </c>
      <c r="BM8" s="10" t="n">
        <v>11</v>
      </c>
      <c r="BN8" s="10" t="n">
        <v>12</v>
      </c>
      <c r="BO8" s="10" t="n">
        <v>13</v>
      </c>
      <c r="BP8" s="11" t="n">
        <v>14</v>
      </c>
      <c r="BQ8" s="11" t="n">
        <v>15</v>
      </c>
      <c r="BR8" s="10" t="n">
        <v>16</v>
      </c>
      <c r="BS8" s="10" t="n">
        <v>17</v>
      </c>
      <c r="BT8" s="10" t="n">
        <v>18</v>
      </c>
      <c r="BU8" s="10" t="n">
        <v>19</v>
      </c>
      <c r="BV8" s="10" t="n">
        <v>20</v>
      </c>
      <c r="BW8" s="11" t="n">
        <v>21</v>
      </c>
      <c r="BX8" s="11" t="n">
        <v>22</v>
      </c>
      <c r="BY8" s="10" t="n">
        <v>23</v>
      </c>
      <c r="BZ8" s="10" t="n">
        <v>24</v>
      </c>
      <c r="CA8" s="10" t="n">
        <v>25</v>
      </c>
      <c r="CB8" s="10" t="n">
        <v>26</v>
      </c>
      <c r="CC8" s="10" t="n">
        <v>27</v>
      </c>
      <c r="CD8" s="11" t="n">
        <v>28</v>
      </c>
      <c r="CE8" s="11" t="n">
        <v>29</v>
      </c>
      <c r="CF8" s="10" t="n">
        <v>30</v>
      </c>
      <c r="CG8" s="10" t="n">
        <v>1</v>
      </c>
      <c r="CH8" s="10" t="n">
        <v>2</v>
      </c>
    </row>
    <row r="9" customFormat="false" ht="12.75" hidden="false" customHeight="true" outlineLevel="0" collapsed="false">
      <c r="A9" s="6"/>
      <c r="B9" s="6"/>
      <c r="C9" s="6"/>
      <c r="D9" s="6"/>
      <c r="E9" s="6"/>
      <c r="F9" s="6"/>
      <c r="G9" s="12" t="s">
        <v>24</v>
      </c>
      <c r="H9" s="12" t="s">
        <v>25</v>
      </c>
      <c r="I9" s="12" t="s">
        <v>26</v>
      </c>
      <c r="J9" s="12" t="s">
        <v>25</v>
      </c>
      <c r="K9" s="12" t="s">
        <v>27</v>
      </c>
      <c r="L9" s="13" t="s">
        <v>28</v>
      </c>
      <c r="M9" s="13" t="s">
        <v>28</v>
      </c>
      <c r="N9" s="12" t="s">
        <v>24</v>
      </c>
      <c r="O9" s="12" t="s">
        <v>25</v>
      </c>
      <c r="P9" s="12" t="s">
        <v>26</v>
      </c>
      <c r="Q9" s="12" t="s">
        <v>25</v>
      </c>
      <c r="R9" s="12" t="s">
        <v>27</v>
      </c>
      <c r="S9" s="13" t="s">
        <v>28</v>
      </c>
      <c r="T9" s="13" t="s">
        <v>28</v>
      </c>
      <c r="U9" s="12" t="s">
        <v>24</v>
      </c>
      <c r="V9" s="12" t="s">
        <v>25</v>
      </c>
      <c r="W9" s="12" t="s">
        <v>26</v>
      </c>
      <c r="X9" s="12" t="s">
        <v>25</v>
      </c>
      <c r="Y9" s="12" t="s">
        <v>27</v>
      </c>
      <c r="Z9" s="13" t="s">
        <v>28</v>
      </c>
      <c r="AA9" s="13" t="s">
        <v>28</v>
      </c>
      <c r="AB9" s="12" t="s">
        <v>24</v>
      </c>
      <c r="AC9" s="12" t="s">
        <v>25</v>
      </c>
      <c r="AD9" s="12" t="s">
        <v>26</v>
      </c>
      <c r="AE9" s="12" t="s">
        <v>25</v>
      </c>
      <c r="AF9" s="12" t="s">
        <v>27</v>
      </c>
      <c r="AG9" s="13" t="s">
        <v>28</v>
      </c>
      <c r="AH9" s="13" t="s">
        <v>28</v>
      </c>
      <c r="AI9" s="12" t="s">
        <v>24</v>
      </c>
      <c r="AJ9" s="12" t="s">
        <v>25</v>
      </c>
      <c r="AK9" s="12" t="s">
        <v>26</v>
      </c>
      <c r="AL9" s="12" t="s">
        <v>25</v>
      </c>
      <c r="AM9" s="12" t="s">
        <v>27</v>
      </c>
      <c r="AN9" s="13" t="s">
        <v>28</v>
      </c>
      <c r="AO9" s="13" t="s">
        <v>28</v>
      </c>
      <c r="AP9" s="12" t="s">
        <v>24</v>
      </c>
      <c r="AQ9" s="12" t="s">
        <v>25</v>
      </c>
      <c r="AR9" s="12" t="s">
        <v>26</v>
      </c>
      <c r="AS9" s="12" t="s">
        <v>25</v>
      </c>
      <c r="AT9" s="12" t="s">
        <v>27</v>
      </c>
      <c r="AU9" s="13" t="s">
        <v>28</v>
      </c>
      <c r="AV9" s="13" t="s">
        <v>28</v>
      </c>
      <c r="AW9" s="12" t="s">
        <v>24</v>
      </c>
      <c r="AX9" s="12" t="s">
        <v>25</v>
      </c>
      <c r="AY9" s="12" t="s">
        <v>26</v>
      </c>
      <c r="AZ9" s="12" t="s">
        <v>25</v>
      </c>
      <c r="BA9" s="12" t="s">
        <v>27</v>
      </c>
      <c r="BB9" s="13" t="s">
        <v>28</v>
      </c>
      <c r="BC9" s="13" t="s">
        <v>28</v>
      </c>
      <c r="BD9" s="12" t="s">
        <v>24</v>
      </c>
      <c r="BE9" s="12" t="s">
        <v>25</v>
      </c>
      <c r="BF9" s="12" t="s">
        <v>26</v>
      </c>
      <c r="BG9" s="12" t="s">
        <v>25</v>
      </c>
      <c r="BH9" s="12" t="s">
        <v>27</v>
      </c>
      <c r="BI9" s="13" t="s">
        <v>28</v>
      </c>
      <c r="BJ9" s="13" t="s">
        <v>28</v>
      </c>
      <c r="BK9" s="12" t="s">
        <v>24</v>
      </c>
      <c r="BL9" s="12" t="s">
        <v>25</v>
      </c>
      <c r="BM9" s="12" t="s">
        <v>26</v>
      </c>
      <c r="BN9" s="12" t="s">
        <v>25</v>
      </c>
      <c r="BO9" s="12" t="s">
        <v>27</v>
      </c>
      <c r="BP9" s="13" t="s">
        <v>28</v>
      </c>
      <c r="BQ9" s="13" t="s">
        <v>28</v>
      </c>
      <c r="BR9" s="12" t="s">
        <v>24</v>
      </c>
      <c r="BS9" s="12" t="s">
        <v>25</v>
      </c>
      <c r="BT9" s="12" t="s">
        <v>26</v>
      </c>
      <c r="BU9" s="12" t="s">
        <v>25</v>
      </c>
      <c r="BV9" s="12" t="s">
        <v>27</v>
      </c>
      <c r="BW9" s="13" t="s">
        <v>28</v>
      </c>
      <c r="BX9" s="13" t="s">
        <v>28</v>
      </c>
      <c r="BY9" s="12" t="s">
        <v>24</v>
      </c>
      <c r="BZ9" s="12" t="s">
        <v>25</v>
      </c>
      <c r="CA9" s="12" t="s">
        <v>26</v>
      </c>
      <c r="CB9" s="12" t="s">
        <v>25</v>
      </c>
      <c r="CC9" s="12" t="s">
        <v>27</v>
      </c>
      <c r="CD9" s="13" t="s">
        <v>28</v>
      </c>
      <c r="CE9" s="13" t="s">
        <v>28</v>
      </c>
      <c r="CF9" s="12" t="s">
        <v>24</v>
      </c>
      <c r="CG9" s="12" t="s">
        <v>25</v>
      </c>
      <c r="CH9" s="12" t="s">
        <v>26</v>
      </c>
      <c r="CL9" s="1" t="s">
        <v>29</v>
      </c>
      <c r="CM9" s="1" t="s">
        <v>30</v>
      </c>
    </row>
    <row r="10" customFormat="false" ht="15" hidden="false" customHeight="true" outlineLevel="0" collapsed="false">
      <c r="A10" s="14" t="s">
        <v>31</v>
      </c>
      <c r="B10" s="15" t="s">
        <v>32</v>
      </c>
      <c r="C10" s="15" t="str">
        <f aca="false">DAY(CL10)&amp;" "&amp;INDEX(Lists!$A$1:$A$12,MONTH(CL10))</f>
        <v>14 Sep</v>
      </c>
      <c r="D10" s="15" t="str">
        <f aca="false">DAY(CM10)&amp;" "&amp;INDEX(Lists!$A$1:$A$12,MONTH(CM10))</f>
        <v>2 Oct</v>
      </c>
      <c r="E10" s="15" t="n">
        <f aca="false">CM10-CL10+1</f>
        <v>19</v>
      </c>
      <c r="F10" s="15" t="str">
        <f aca="false">IF(COUNTIF(F11:F13,"Done")=3,"Done",IF(COUNTIF(F11:F13,"Not started")=3,"Not started","In progress"))</f>
        <v>Done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J10" s="1" t="s">
        <v>33</v>
      </c>
      <c r="CL10" s="5" t="n">
        <f aca="false">MIN(CL11:CL13)</f>
        <v>46279</v>
      </c>
      <c r="CM10" s="5" t="n">
        <f aca="false">MAX(CM11:CM13)</f>
        <v>46297</v>
      </c>
    </row>
    <row r="11" customFormat="false" ht="14.25" hidden="false" customHeight="true" outlineLevel="0" collapsed="false">
      <c r="A11" s="17" t="s">
        <v>34</v>
      </c>
      <c r="B11" s="18"/>
      <c r="C11" s="19" t="s">
        <v>35</v>
      </c>
      <c r="D11" s="19" t="s">
        <v>36</v>
      </c>
      <c r="E11" s="20" t="n">
        <f aca="false">IF(OR(CL11="",CM11=""),"",CM11-CL11+1)</f>
        <v>3</v>
      </c>
      <c r="F11" s="21" t="s">
        <v>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J11" s="1" t="s">
        <v>38</v>
      </c>
      <c r="CL11" s="5" t="n">
        <f aca="false">IFERROR(IF(TRIM(C11)="","",IF(ISNUMBER(C11),C11,DATE(2026,MATCH(LEFT(MID(TRIM(C11),FIND(" ",TRIM(C11))+1,9),3),Lists!$A$1:$A$12,0),VALUE(LEFT(TRIM(C11),FIND(" ",TRIM(C11))-1))))),"")</f>
        <v>46279</v>
      </c>
      <c r="CM11" s="5" t="n">
        <f aca="false">IFERROR(IF(TRIM(D11)="","",IF(ISNUMBER(D11),D11,DATE(2026,MATCH(LEFT(MID(TRIM(D11),FIND(" ",TRIM(D11))+1,9),3),Lists!$A$1:$A$12,0),VALUE(LEFT(TRIM(D11),FIND(" ",TRIM(D11))-1))))),"")</f>
        <v>46281</v>
      </c>
    </row>
    <row r="12" customFormat="false" ht="14.25" hidden="false" customHeight="true" outlineLevel="0" collapsed="false">
      <c r="A12" s="17" t="s">
        <v>39</v>
      </c>
      <c r="B12" s="18"/>
      <c r="C12" s="19" t="s">
        <v>35</v>
      </c>
      <c r="D12" s="19" t="s">
        <v>40</v>
      </c>
      <c r="E12" s="20" t="n">
        <f aca="false">IF(OR(CL12="",CM12=""),"",CM12-CL12+1)</f>
        <v>5</v>
      </c>
      <c r="F12" s="21" t="s">
        <v>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J12" s="1" t="s">
        <v>38</v>
      </c>
      <c r="CL12" s="5" t="n">
        <f aca="false">IFERROR(IF(TRIM(C12)="","",IF(ISNUMBER(C12),C12,DATE(2026,MATCH(LEFT(MID(TRIM(C12),FIND(" ",TRIM(C12))+1,9),3),Lists!$A$1:$A$12,0),VALUE(LEFT(TRIM(C12),FIND(" ",TRIM(C12))-1))))),"")</f>
        <v>46279</v>
      </c>
      <c r="CM12" s="5" t="n">
        <f aca="false">IFERROR(IF(TRIM(D12)="","",IF(ISNUMBER(D12),D12,DATE(2026,MATCH(LEFT(MID(TRIM(D12),FIND(" ",TRIM(D12))+1,9),3),Lists!$A$1:$A$12,0),VALUE(LEFT(TRIM(D12),FIND(" ",TRIM(D12))-1))))),"")</f>
        <v>46283</v>
      </c>
    </row>
    <row r="13" customFormat="false" ht="14.25" hidden="false" customHeight="true" outlineLevel="0" collapsed="false">
      <c r="A13" s="17" t="s">
        <v>41</v>
      </c>
      <c r="B13" s="18"/>
      <c r="C13" s="19" t="s">
        <v>42</v>
      </c>
      <c r="D13" s="19" t="s">
        <v>43</v>
      </c>
      <c r="E13" s="20" t="n">
        <f aca="false">IF(OR(CL13="",CM13=""),"",CM13-CL13+1)</f>
        <v>5</v>
      </c>
      <c r="F13" s="21" t="s">
        <v>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J13" s="1" t="s">
        <v>38</v>
      </c>
      <c r="CL13" s="5" t="n">
        <f aca="false">IFERROR(IF(TRIM(C13)="","",IF(ISNUMBER(C13),C13,DATE(2026,MATCH(LEFT(MID(TRIM(C13),FIND(" ",TRIM(C13))+1,9),3),Lists!$A$1:$A$12,0),VALUE(LEFT(TRIM(C13),FIND(" ",TRIM(C13))-1))))),"")</f>
        <v>46293</v>
      </c>
      <c r="CM13" s="5" t="n">
        <f aca="false">IFERROR(IF(TRIM(D13)="","",IF(ISNUMBER(D13),D13,DATE(2026,MATCH(LEFT(MID(TRIM(D13),FIND(" ",TRIM(D13))+1,9),3),Lists!$A$1:$A$12,0),VALUE(LEFT(TRIM(D13),FIND(" ",TRIM(D13))-1))))),"")</f>
        <v>46297</v>
      </c>
    </row>
    <row r="14" customFormat="false" ht="15" hidden="false" customHeight="true" outlineLevel="0" collapsed="false">
      <c r="A14" s="14" t="s">
        <v>44</v>
      </c>
      <c r="B14" s="15" t="s">
        <v>45</v>
      </c>
      <c r="C14" s="15" t="str">
        <f aca="false">DAY(CL14)&amp;" "&amp;INDEX(Lists!$A$1:$A$12,MONTH(CL14))</f>
        <v>16 Sep</v>
      </c>
      <c r="D14" s="15" t="str">
        <f aca="false">DAY(CM14)&amp;" "&amp;INDEX(Lists!$A$1:$A$12,MONTH(CM14))</f>
        <v>2 Oct</v>
      </c>
      <c r="E14" s="15" t="n">
        <f aca="false">CM14-CL14+1</f>
        <v>17</v>
      </c>
      <c r="F14" s="15" t="str">
        <f aca="false">IF(COUNTIF(F15:F16,"Done")=2,"Done",IF(COUNTIF(F15:F16,"Not started")=2,"Not started","In progress"))</f>
        <v>Done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J14" s="1" t="s">
        <v>33</v>
      </c>
      <c r="CL14" s="5" t="n">
        <f aca="false">MIN(CL15:CL16)</f>
        <v>46281</v>
      </c>
      <c r="CM14" s="5" t="n">
        <f aca="false">MAX(CM15:CM16)</f>
        <v>46297</v>
      </c>
    </row>
    <row r="15" customFormat="false" ht="14.25" hidden="false" customHeight="true" outlineLevel="0" collapsed="false">
      <c r="A15" s="17" t="s">
        <v>46</v>
      </c>
      <c r="B15" s="18"/>
      <c r="C15" s="19" t="s">
        <v>36</v>
      </c>
      <c r="D15" s="19" t="s">
        <v>40</v>
      </c>
      <c r="E15" s="20" t="n">
        <f aca="false">IF(OR(CL15="",CM15=""),"",CM15-CL15+1)</f>
        <v>3</v>
      </c>
      <c r="F15" s="21" t="s">
        <v>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J15" s="1" t="s">
        <v>38</v>
      </c>
      <c r="CL15" s="5" t="n">
        <f aca="false">IFERROR(IF(TRIM(C15)="","",IF(ISNUMBER(C15),C15,DATE(2026,MATCH(LEFT(MID(TRIM(C15),FIND(" ",TRIM(C15))+1,9),3),Lists!$A$1:$A$12,0),VALUE(LEFT(TRIM(C15),FIND(" ",TRIM(C15))-1))))),"")</f>
        <v>46281</v>
      </c>
      <c r="CM15" s="5" t="n">
        <f aca="false">IFERROR(IF(TRIM(D15)="","",IF(ISNUMBER(D15),D15,DATE(2026,MATCH(LEFT(MID(TRIM(D15),FIND(" ",TRIM(D15))+1,9),3),Lists!$A$1:$A$12,0),VALUE(LEFT(TRIM(D15),FIND(" ",TRIM(D15))-1))))),"")</f>
        <v>46283</v>
      </c>
    </row>
    <row r="16" customFormat="false" ht="14.25" hidden="false" customHeight="true" outlineLevel="0" collapsed="false">
      <c r="A16" s="17" t="s">
        <v>47</v>
      </c>
      <c r="B16" s="18"/>
      <c r="C16" s="19" t="s">
        <v>48</v>
      </c>
      <c r="D16" s="19" t="s">
        <v>43</v>
      </c>
      <c r="E16" s="20" t="n">
        <f aca="false">IF(OR(CL16="",CM16=""),"",CM16-CL16+1)</f>
        <v>3</v>
      </c>
      <c r="F16" s="21" t="s">
        <v>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J16" s="1" t="s">
        <v>38</v>
      </c>
      <c r="CL16" s="5" t="n">
        <f aca="false">IFERROR(IF(TRIM(C16)="","",IF(ISNUMBER(C16),C16,DATE(2026,MATCH(LEFT(MID(TRIM(C16),FIND(" ",TRIM(C16))+1,9),3),Lists!$A$1:$A$12,0),VALUE(LEFT(TRIM(C16),FIND(" ",TRIM(C16))-1))))),"")</f>
        <v>46295</v>
      </c>
      <c r="CM16" s="5" t="n">
        <f aca="false">IFERROR(IF(TRIM(D16)="","",IF(ISNUMBER(D16),D16,DATE(2026,MATCH(LEFT(MID(TRIM(D16),FIND(" ",TRIM(D16))+1,9),3),Lists!$A$1:$A$12,0),VALUE(LEFT(TRIM(D16),FIND(" ",TRIM(D16))-1))))),"")</f>
        <v>46297</v>
      </c>
    </row>
    <row r="17" customFormat="false" ht="15" hidden="false" customHeight="true" outlineLevel="0" collapsed="false">
      <c r="A17" s="14" t="s">
        <v>49</v>
      </c>
      <c r="B17" s="15" t="s">
        <v>50</v>
      </c>
      <c r="C17" s="15" t="str">
        <f aca="false">DAY(CL17)&amp;" "&amp;INDEX(Lists!$A$1:$A$12,MONTH(CL17))</f>
        <v>17 Sep</v>
      </c>
      <c r="D17" s="15" t="str">
        <f aca="false">DAY(CM17)&amp;" "&amp;INDEX(Lists!$A$1:$A$12,MONTH(CM17))</f>
        <v>4 Nov</v>
      </c>
      <c r="E17" s="15" t="n">
        <f aca="false">CM17-CL17+1</f>
        <v>49</v>
      </c>
      <c r="F17" s="15" t="str">
        <f aca="false">IF(COUNTIF(F18:F21,"Done")=4,"Done",IF(COUNTIF(F18:F21,"Not started")=4,"Not started","In progress"))</f>
        <v>In progress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J17" s="1" t="s">
        <v>33</v>
      </c>
      <c r="CL17" s="5" t="n">
        <f aca="false">MIN(CL18:CL21)</f>
        <v>46282</v>
      </c>
      <c r="CM17" s="5" t="n">
        <f aca="false">MAX(CM18:CM21)</f>
        <v>46330</v>
      </c>
    </row>
    <row r="18" customFormat="false" ht="14.25" hidden="false" customHeight="true" outlineLevel="0" collapsed="false">
      <c r="A18" s="17" t="s">
        <v>51</v>
      </c>
      <c r="B18" s="18"/>
      <c r="C18" s="19" t="s">
        <v>52</v>
      </c>
      <c r="D18" s="19" t="s">
        <v>53</v>
      </c>
      <c r="E18" s="20" t="n">
        <f aca="false">IF(OR(CL18="",CM18=""),"",CM18-CL18+1)</f>
        <v>3</v>
      </c>
      <c r="F18" s="21" t="s">
        <v>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J18" s="1" t="s">
        <v>38</v>
      </c>
      <c r="CL18" s="5" t="n">
        <f aca="false">IFERROR(IF(TRIM(C18)="","",IF(ISNUMBER(C18),C18,DATE(2026,MATCH(LEFT(MID(TRIM(C18),FIND(" ",TRIM(C18))+1,9),3),Lists!$A$1:$A$12,0),VALUE(LEFT(TRIM(C18),FIND(" ",TRIM(C18))-1))))),"")</f>
        <v>46282</v>
      </c>
      <c r="CM18" s="5" t="n">
        <f aca="false">IFERROR(IF(TRIM(D18)="","",IF(ISNUMBER(D18),D18,DATE(2026,MATCH(LEFT(MID(TRIM(D18),FIND(" ",TRIM(D18))+1,9),3),Lists!$A$1:$A$12,0),VALUE(LEFT(TRIM(D18),FIND(" ",TRIM(D18))-1))))),"")</f>
        <v>46284</v>
      </c>
    </row>
    <row r="19" customFormat="false" ht="14.25" hidden="false" customHeight="true" outlineLevel="0" collapsed="false">
      <c r="A19" s="17" t="s">
        <v>54</v>
      </c>
      <c r="B19" s="18"/>
      <c r="C19" s="19" t="s">
        <v>55</v>
      </c>
      <c r="D19" s="19" t="s">
        <v>56</v>
      </c>
      <c r="E19" s="20" t="n">
        <f aca="false">IF(OR(CL19="",CM19=""),"",CM19-CL19+1)</f>
        <v>3</v>
      </c>
      <c r="F19" s="21" t="s">
        <v>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J19" s="1" t="s">
        <v>38</v>
      </c>
      <c r="CL19" s="5" t="n">
        <f aca="false">IFERROR(IF(TRIM(C19)="","",IF(ISNUMBER(C19),C19,DATE(2026,MATCH(LEFT(MID(TRIM(C19),FIND(" ",TRIM(C19))+1,9),3),Lists!$A$1:$A$12,0),VALUE(LEFT(TRIM(C19),FIND(" ",TRIM(C19))-1))))),"")</f>
        <v>46296</v>
      </c>
      <c r="CM19" s="5" t="n">
        <f aca="false">IFERROR(IF(TRIM(D19)="","",IF(ISNUMBER(D19),D19,DATE(2026,MATCH(LEFT(MID(TRIM(D19),FIND(" ",TRIM(D19))+1,9),3),Lists!$A$1:$A$12,0),VALUE(LEFT(TRIM(D19),FIND(" ",TRIM(D19))-1))))),"")</f>
        <v>46298</v>
      </c>
    </row>
    <row r="20" customFormat="false" ht="14.25" hidden="false" customHeight="true" outlineLevel="0" collapsed="false">
      <c r="A20" s="17" t="s">
        <v>57</v>
      </c>
      <c r="B20" s="18"/>
      <c r="C20" s="19" t="s">
        <v>56</v>
      </c>
      <c r="D20" s="19" t="s">
        <v>58</v>
      </c>
      <c r="E20" s="20" t="n">
        <f aca="false">IF(OR(CL20="",CM20=""),"",CM20-CL20+1)</f>
        <v>5</v>
      </c>
      <c r="F20" s="21" t="s">
        <v>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J20" s="1" t="s">
        <v>38</v>
      </c>
      <c r="CL20" s="5" t="n">
        <f aca="false">IFERROR(IF(TRIM(C20)="","",IF(ISNUMBER(C20),C20,DATE(2026,MATCH(LEFT(MID(TRIM(C20),FIND(" ",TRIM(C20))+1,9),3),Lists!$A$1:$A$12,0),VALUE(LEFT(TRIM(C20),FIND(" ",TRIM(C20))-1))))),"")</f>
        <v>46298</v>
      </c>
      <c r="CM20" s="5" t="n">
        <f aca="false">IFERROR(IF(TRIM(D20)="","",IF(ISNUMBER(D20),D20,DATE(2026,MATCH(LEFT(MID(TRIM(D20),FIND(" ",TRIM(D20))+1,9),3),Lists!$A$1:$A$12,0),VALUE(LEFT(TRIM(D20),FIND(" ",TRIM(D20))-1))))),"")</f>
        <v>46302</v>
      </c>
    </row>
    <row r="21" customFormat="false" ht="14.25" hidden="false" customHeight="true" outlineLevel="0" collapsed="false">
      <c r="A21" s="17" t="s">
        <v>59</v>
      </c>
      <c r="B21" s="18"/>
      <c r="C21" s="19" t="s">
        <v>60</v>
      </c>
      <c r="D21" s="19" t="s">
        <v>61</v>
      </c>
      <c r="E21" s="20" t="n">
        <f aca="false">IF(OR(CL21="",CM21=""),"",CM21-CL21+1)</f>
        <v>3</v>
      </c>
      <c r="F21" s="21" t="s">
        <v>62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J21" s="1" t="s">
        <v>38</v>
      </c>
      <c r="CL21" s="5" t="n">
        <f aca="false">IFERROR(IF(TRIM(C21)="","",IF(ISNUMBER(C21),C21,DATE(2026,MATCH(LEFT(MID(TRIM(C21),FIND(" ",TRIM(C21))+1,9),3),Lists!$A$1:$A$12,0),VALUE(LEFT(TRIM(C21),FIND(" ",TRIM(C21))-1))))),"")</f>
        <v>46328</v>
      </c>
      <c r="CM21" s="5" t="n">
        <f aca="false">IFERROR(IF(TRIM(D21)="","",IF(ISNUMBER(D21),D21,DATE(2026,MATCH(LEFT(MID(TRIM(D21),FIND(" ",TRIM(D21))+1,9),3),Lists!$A$1:$A$12,0),VALUE(LEFT(TRIM(D21),FIND(" ",TRIM(D21))-1))))),"")</f>
        <v>46330</v>
      </c>
    </row>
    <row r="22" customFormat="false" ht="15" hidden="false" customHeight="true" outlineLevel="0" collapsed="false">
      <c r="A22" s="14" t="s">
        <v>63</v>
      </c>
      <c r="B22" s="15" t="s">
        <v>64</v>
      </c>
      <c r="C22" s="15" t="str">
        <f aca="false">DAY(CL22)&amp;" "&amp;INDEX(Lists!$A$1:$A$12,MONTH(CL22))</f>
        <v>19 Sep</v>
      </c>
      <c r="D22" s="15" t="str">
        <f aca="false">DAY(CM22)&amp;" "&amp;INDEX(Lists!$A$1:$A$12,MONTH(CM22))</f>
        <v>7 Oct</v>
      </c>
      <c r="E22" s="15" t="n">
        <f aca="false">CM22-CL22+1</f>
        <v>19</v>
      </c>
      <c r="F22" s="15" t="str">
        <f aca="false">IF(COUNTIF(F23:F24,"Done")=2,"Done",IF(COUNTIF(F23:F24,"Not started")=2,"Not started","In progress"))</f>
        <v>Done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J22" s="1" t="s">
        <v>33</v>
      </c>
      <c r="CL22" s="5" t="n">
        <f aca="false">MIN(CL23:CL24)</f>
        <v>46284</v>
      </c>
      <c r="CM22" s="5" t="n">
        <f aca="false">MAX(CM23:CM24)</f>
        <v>46302</v>
      </c>
    </row>
    <row r="23" customFormat="false" ht="14.25" hidden="false" customHeight="true" outlineLevel="0" collapsed="false">
      <c r="A23" s="17" t="s">
        <v>65</v>
      </c>
      <c r="B23" s="18"/>
      <c r="C23" s="19" t="s">
        <v>53</v>
      </c>
      <c r="D23" s="19" t="s">
        <v>66</v>
      </c>
      <c r="E23" s="20" t="n">
        <f aca="false">IF(OR(CL23="",CM23=""),"",CM23-CL23+1)</f>
        <v>7</v>
      </c>
      <c r="F23" s="21" t="s">
        <v>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J23" s="1" t="s">
        <v>38</v>
      </c>
      <c r="CL23" s="5" t="n">
        <f aca="false">IFERROR(IF(TRIM(C23)="","",IF(ISNUMBER(C23),C23,DATE(2026,MATCH(LEFT(MID(TRIM(C23),FIND(" ",TRIM(C23))+1,9),3),Lists!$A$1:$A$12,0),VALUE(LEFT(TRIM(C23),FIND(" ",TRIM(C23))-1))))),"")</f>
        <v>46284</v>
      </c>
      <c r="CM23" s="5" t="n">
        <f aca="false">IFERROR(IF(TRIM(D23)="","",IF(ISNUMBER(D23),D23,DATE(2026,MATCH(LEFT(MID(TRIM(D23),FIND(" ",TRIM(D23))+1,9),3),Lists!$A$1:$A$12,0),VALUE(LEFT(TRIM(D23),FIND(" ",TRIM(D23))-1))))),"")</f>
        <v>46290</v>
      </c>
    </row>
    <row r="24" customFormat="false" ht="14.25" hidden="false" customHeight="true" outlineLevel="0" collapsed="false">
      <c r="A24" s="17" t="s">
        <v>67</v>
      </c>
      <c r="B24" s="18"/>
      <c r="C24" s="19" t="s">
        <v>68</v>
      </c>
      <c r="D24" s="19" t="s">
        <v>58</v>
      </c>
      <c r="E24" s="20" t="n">
        <f aca="false">IF(OR(CL24="",CM24=""),"",CM24-CL24+1)</f>
        <v>3</v>
      </c>
      <c r="F24" s="21" t="s">
        <v>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J24" s="1" t="s">
        <v>38</v>
      </c>
      <c r="CL24" s="5" t="n">
        <f aca="false">IFERROR(IF(TRIM(C24)="","",IF(ISNUMBER(C24),C24,DATE(2026,MATCH(LEFT(MID(TRIM(C24),FIND(" ",TRIM(C24))+1,9),3),Lists!$A$1:$A$12,0),VALUE(LEFT(TRIM(C24),FIND(" ",TRIM(C24))-1))))),"")</f>
        <v>46300</v>
      </c>
      <c r="CM24" s="5" t="n">
        <f aca="false">IFERROR(IF(TRIM(D24)="","",IF(ISNUMBER(D24),D24,DATE(2026,MATCH(LEFT(MID(TRIM(D24),FIND(" ",TRIM(D24))+1,9),3),Lists!$A$1:$A$12,0),VALUE(LEFT(TRIM(D24),FIND(" ",TRIM(D24))-1))))),"")</f>
        <v>46302</v>
      </c>
    </row>
    <row r="25" customFormat="false" ht="15" hidden="false" customHeight="true" outlineLevel="0" collapsed="false">
      <c r="A25" s="14" t="s">
        <v>69</v>
      </c>
      <c r="B25" s="15" t="s">
        <v>70</v>
      </c>
      <c r="C25" s="15" t="str">
        <f aca="false">DAY(CL25)&amp;" "&amp;INDEX(Lists!$A$1:$A$12,MONTH(CL25))</f>
        <v>5 Oct</v>
      </c>
      <c r="D25" s="15" t="str">
        <f aca="false">DAY(CM25)&amp;" "&amp;INDEX(Lists!$A$1:$A$12,MONTH(CM25))</f>
        <v>8 Oct</v>
      </c>
      <c r="E25" s="15" t="n">
        <f aca="false">CM25-CL25+1</f>
        <v>4</v>
      </c>
      <c r="F25" s="15" t="str">
        <f aca="false">IF(COUNTIF(F26:F27,"Done")=2,"Done",IF(COUNTIF(F26:F27,"Not started")=2,"Not started","In progress"))</f>
        <v>Done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J25" s="1" t="s">
        <v>33</v>
      </c>
      <c r="CL25" s="5" t="n">
        <f aca="false">MIN(CL26:CL27)</f>
        <v>46300</v>
      </c>
      <c r="CM25" s="5" t="n">
        <f aca="false">MAX(CM26:CM27)</f>
        <v>46303</v>
      </c>
    </row>
    <row r="26" customFormat="false" ht="14.25" hidden="false" customHeight="true" outlineLevel="0" collapsed="false">
      <c r="A26" s="17" t="s">
        <v>71</v>
      </c>
      <c r="B26" s="18"/>
      <c r="C26" s="19" t="s">
        <v>68</v>
      </c>
      <c r="D26" s="19" t="s">
        <v>58</v>
      </c>
      <c r="E26" s="20" t="n">
        <f aca="false">IF(OR(CL26="",CM26=""),"",CM26-CL26+1)</f>
        <v>3</v>
      </c>
      <c r="F26" s="21" t="s">
        <v>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J26" s="1" t="s">
        <v>38</v>
      </c>
      <c r="CL26" s="5" t="n">
        <f aca="false">IFERROR(IF(TRIM(C26)="","",IF(ISNUMBER(C26),C26,DATE(2026,MATCH(LEFT(MID(TRIM(C26),FIND(" ",TRIM(C26))+1,9),3),Lists!$A$1:$A$12,0),VALUE(LEFT(TRIM(C26),FIND(" ",TRIM(C26))-1))))),"")</f>
        <v>46300</v>
      </c>
      <c r="CM26" s="5" t="n">
        <f aca="false">IFERROR(IF(TRIM(D26)="","",IF(ISNUMBER(D26),D26,DATE(2026,MATCH(LEFT(MID(TRIM(D26),FIND(" ",TRIM(D26))+1,9),3),Lists!$A$1:$A$12,0),VALUE(LEFT(TRIM(D26),FIND(" ",TRIM(D26))-1))))),"")</f>
        <v>46302</v>
      </c>
    </row>
    <row r="27" customFormat="false" ht="14.25" hidden="false" customHeight="true" outlineLevel="0" collapsed="false">
      <c r="A27" s="17" t="s">
        <v>72</v>
      </c>
      <c r="B27" s="18"/>
      <c r="C27" s="19" t="s">
        <v>58</v>
      </c>
      <c r="D27" s="19" t="s">
        <v>73</v>
      </c>
      <c r="E27" s="20" t="n">
        <f aca="false">IF(OR(CL27="",CM27=""),"",CM27-CL27+1)</f>
        <v>2</v>
      </c>
      <c r="F27" s="21" t="s">
        <v>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J27" s="1" t="s">
        <v>38</v>
      </c>
      <c r="CL27" s="5" t="n">
        <f aca="false">IFERROR(IF(TRIM(C27)="","",IF(ISNUMBER(C27),C27,DATE(2026,MATCH(LEFT(MID(TRIM(C27),FIND(" ",TRIM(C27))+1,9),3),Lists!$A$1:$A$12,0),VALUE(LEFT(TRIM(C27),FIND(" ",TRIM(C27))-1))))),"")</f>
        <v>46302</v>
      </c>
      <c r="CM27" s="5" t="n">
        <f aca="false">IFERROR(IF(TRIM(D27)="","",IF(ISNUMBER(D27),D27,DATE(2026,MATCH(LEFT(MID(TRIM(D27),FIND(" ",TRIM(D27))+1,9),3),Lists!$A$1:$A$12,0),VALUE(LEFT(TRIM(D27),FIND(" ",TRIM(D27))-1))))),"")</f>
        <v>46303</v>
      </c>
    </row>
    <row r="28" customFormat="false" ht="15" hidden="false" customHeight="true" outlineLevel="0" collapsed="false">
      <c r="A28" s="14" t="s">
        <v>74</v>
      </c>
      <c r="B28" s="15" t="s">
        <v>75</v>
      </c>
      <c r="C28" s="15" t="str">
        <f aca="false">DAY(CL28)&amp;" "&amp;INDEX(Lists!$A$1:$A$12,MONTH(CL28))</f>
        <v>21 Sep</v>
      </c>
      <c r="D28" s="15" t="str">
        <f aca="false">DAY(CM28)&amp;" "&amp;INDEX(Lists!$A$1:$A$12,MONTH(CM28))</f>
        <v>27 Oct</v>
      </c>
      <c r="E28" s="15" t="n">
        <f aca="false">CM28-CL28+1</f>
        <v>37</v>
      </c>
      <c r="F28" s="15" t="str">
        <f aca="false">IF(COUNTIF(F29:F34,"Done")=6,"Done",IF(COUNTIF(F29:F34,"Not started")=6,"Not started","In progress"))</f>
        <v>Done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J28" s="1" t="s">
        <v>33</v>
      </c>
      <c r="CL28" s="5" t="n">
        <f aca="false">MIN(CL29:CL34)</f>
        <v>46286</v>
      </c>
      <c r="CM28" s="5" t="n">
        <f aca="false">MAX(CM29:CM34)</f>
        <v>46322</v>
      </c>
    </row>
    <row r="29" customFormat="false" ht="14.25" hidden="false" customHeight="true" outlineLevel="0" collapsed="false">
      <c r="A29" s="17" t="s">
        <v>76</v>
      </c>
      <c r="B29" s="18"/>
      <c r="C29" s="19" t="s">
        <v>77</v>
      </c>
      <c r="D29" s="19" t="s">
        <v>78</v>
      </c>
      <c r="E29" s="20" t="n">
        <f aca="false">IF(OR(CL29="",CM29=""),"",CM29-CL29+1)</f>
        <v>6</v>
      </c>
      <c r="F29" s="21" t="s">
        <v>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J29" s="1" t="s">
        <v>38</v>
      </c>
      <c r="CL29" s="5" t="n">
        <f aca="false">IFERROR(IF(TRIM(C29)="","",IF(ISNUMBER(C29),C29,DATE(2026,MATCH(LEFT(MID(TRIM(C29),FIND(" ",TRIM(C29))+1,9),3),Lists!$A$1:$A$12,0),VALUE(LEFT(TRIM(C29),FIND(" ",TRIM(C29))-1))))),"")</f>
        <v>46286</v>
      </c>
      <c r="CM29" s="5" t="n">
        <f aca="false">IFERROR(IF(TRIM(D29)="","",IF(ISNUMBER(D29),D29,DATE(2026,MATCH(LEFT(MID(TRIM(D29),FIND(" ",TRIM(D29))+1,9),3),Lists!$A$1:$A$12,0),VALUE(LEFT(TRIM(D29),FIND(" ",TRIM(D29))-1))))),"")</f>
        <v>46291</v>
      </c>
    </row>
    <row r="30" customFormat="false" ht="14.25" hidden="false" customHeight="true" outlineLevel="0" collapsed="false">
      <c r="A30" s="17" t="s">
        <v>79</v>
      </c>
      <c r="B30" s="18"/>
      <c r="C30" s="19" t="s">
        <v>80</v>
      </c>
      <c r="D30" s="19" t="s">
        <v>73</v>
      </c>
      <c r="E30" s="20" t="n">
        <f aca="false">IF(OR(CL30="",CM30=""),"",CM30-CL30+1)</f>
        <v>3</v>
      </c>
      <c r="F30" s="21" t="s">
        <v>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J30" s="1" t="s">
        <v>38</v>
      </c>
      <c r="CL30" s="5" t="n">
        <f aca="false">IFERROR(IF(TRIM(C30)="","",IF(ISNUMBER(C30),C30,DATE(2026,MATCH(LEFT(MID(TRIM(C30),FIND(" ",TRIM(C30))+1,9),3),Lists!$A$1:$A$12,0),VALUE(LEFT(TRIM(C30),FIND(" ",TRIM(C30))-1))))),"")</f>
        <v>46301</v>
      </c>
      <c r="CM30" s="5" t="n">
        <f aca="false">IFERROR(IF(TRIM(D30)="","",IF(ISNUMBER(D30),D30,DATE(2026,MATCH(LEFT(MID(TRIM(D30),FIND(" ",TRIM(D30))+1,9),3),Lists!$A$1:$A$12,0),VALUE(LEFT(TRIM(D30),FIND(" ",TRIM(D30))-1))))),"")</f>
        <v>46303</v>
      </c>
    </row>
    <row r="31" customFormat="false" ht="14.25" hidden="false" customHeight="true" outlineLevel="0" collapsed="false">
      <c r="A31" s="17" t="s">
        <v>81</v>
      </c>
      <c r="B31" s="18"/>
      <c r="C31" s="19" t="s">
        <v>73</v>
      </c>
      <c r="D31" s="19" t="s">
        <v>82</v>
      </c>
      <c r="E31" s="20" t="n">
        <f aca="false">IF(OR(CL31="",CM31=""),"",CM31-CL31+1)</f>
        <v>15</v>
      </c>
      <c r="F31" s="21" t="s">
        <v>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J31" s="1" t="s">
        <v>38</v>
      </c>
      <c r="CL31" s="5" t="n">
        <f aca="false">IFERROR(IF(TRIM(C31)="","",IF(ISNUMBER(C31),C31,DATE(2026,MATCH(LEFT(MID(TRIM(C31),FIND(" ",TRIM(C31))+1,9),3),Lists!$A$1:$A$12,0),VALUE(LEFT(TRIM(C31),FIND(" ",TRIM(C31))-1))))),"")</f>
        <v>46303</v>
      </c>
      <c r="CM31" s="5" t="n">
        <f aca="false">IFERROR(IF(TRIM(D31)="","",IF(ISNUMBER(D31),D31,DATE(2026,MATCH(LEFT(MID(TRIM(D31),FIND(" ",TRIM(D31))+1,9),3),Lists!$A$1:$A$12,0),VALUE(LEFT(TRIM(D31),FIND(" ",TRIM(D31))-1))))),"")</f>
        <v>46317</v>
      </c>
    </row>
    <row r="32" customFormat="false" ht="14.25" hidden="false" customHeight="true" outlineLevel="0" collapsed="false">
      <c r="A32" s="17" t="s">
        <v>83</v>
      </c>
      <c r="B32" s="18"/>
      <c r="C32" s="19" t="s">
        <v>84</v>
      </c>
      <c r="D32" s="19" t="s">
        <v>85</v>
      </c>
      <c r="E32" s="20" t="n">
        <f aca="false">IF(OR(CL32="",CM32=""),"",CM32-CL32+1)</f>
        <v>7</v>
      </c>
      <c r="F32" s="21" t="s">
        <v>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J32" s="1" t="s">
        <v>38</v>
      </c>
      <c r="CL32" s="5" t="n">
        <f aca="false">IFERROR(IF(TRIM(C32)="","",IF(ISNUMBER(C32),C32,DATE(2026,MATCH(LEFT(MID(TRIM(C32),FIND(" ",TRIM(C32))+1,9),3),Lists!$A$1:$A$12,0),VALUE(LEFT(TRIM(C32),FIND(" ",TRIM(C32))-1))))),"")</f>
        <v>46310</v>
      </c>
      <c r="CM32" s="5" t="n">
        <f aca="false">IFERROR(IF(TRIM(D32)="","",IF(ISNUMBER(D32),D32,DATE(2026,MATCH(LEFT(MID(TRIM(D32),FIND(" ",TRIM(D32))+1,9),3),Lists!$A$1:$A$12,0),VALUE(LEFT(TRIM(D32),FIND(" ",TRIM(D32))-1))))),"")</f>
        <v>46316</v>
      </c>
    </row>
    <row r="33" customFormat="false" ht="14.25" hidden="false" customHeight="true" outlineLevel="0" collapsed="false">
      <c r="A33" s="17" t="s">
        <v>86</v>
      </c>
      <c r="B33" s="18"/>
      <c r="C33" s="19" t="s">
        <v>87</v>
      </c>
      <c r="D33" s="19" t="s">
        <v>82</v>
      </c>
      <c r="E33" s="20" t="n">
        <f aca="false">IF(OR(CL33="",CM33=""),"",CM33-CL33+1)</f>
        <v>3</v>
      </c>
      <c r="F33" s="21" t="s">
        <v>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J33" s="1" t="s">
        <v>38</v>
      </c>
      <c r="CL33" s="5" t="n">
        <f aca="false">IFERROR(IF(TRIM(C33)="","",IF(ISNUMBER(C33),C33,DATE(2026,MATCH(LEFT(MID(TRIM(C33),FIND(" ",TRIM(C33))+1,9),3),Lists!$A$1:$A$12,0),VALUE(LEFT(TRIM(C33),FIND(" ",TRIM(C33))-1))))),"")</f>
        <v>46315</v>
      </c>
      <c r="CM33" s="5" t="n">
        <f aca="false">IFERROR(IF(TRIM(D33)="","",IF(ISNUMBER(D33),D33,DATE(2026,MATCH(LEFT(MID(TRIM(D33),FIND(" ",TRIM(D33))+1,9),3),Lists!$A$1:$A$12,0),VALUE(LEFT(TRIM(D33),FIND(" ",TRIM(D33))-1))))),"")</f>
        <v>46317</v>
      </c>
    </row>
    <row r="34" customFormat="false" ht="14.25" hidden="false" customHeight="true" outlineLevel="0" collapsed="false">
      <c r="A34" s="17" t="s">
        <v>88</v>
      </c>
      <c r="B34" s="18"/>
      <c r="C34" s="19" t="s">
        <v>89</v>
      </c>
      <c r="D34" s="19" t="s">
        <v>90</v>
      </c>
      <c r="E34" s="20" t="n">
        <f aca="false">IF(OR(CL34="",CM34=""),"",CM34-CL34+1)</f>
        <v>2</v>
      </c>
      <c r="F34" s="21" t="s">
        <v>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J34" s="1" t="s">
        <v>38</v>
      </c>
      <c r="CL34" s="5" t="n">
        <f aca="false">IFERROR(IF(TRIM(C34)="","",IF(ISNUMBER(C34),C34,DATE(2026,MATCH(LEFT(MID(TRIM(C34),FIND(" ",TRIM(C34))+1,9),3),Lists!$A$1:$A$12,0),VALUE(LEFT(TRIM(C34),FIND(" ",TRIM(C34))-1))))),"")</f>
        <v>46321</v>
      </c>
      <c r="CM34" s="5" t="n">
        <f aca="false">IFERROR(IF(TRIM(D34)="","",IF(ISNUMBER(D34),D34,DATE(2026,MATCH(LEFT(MID(TRIM(D34),FIND(" ",TRIM(D34))+1,9),3),Lists!$A$1:$A$12,0),VALUE(LEFT(TRIM(D34),FIND(" ",TRIM(D34))-1))))),"")</f>
        <v>46322</v>
      </c>
    </row>
    <row r="35" customFormat="false" ht="15" hidden="false" customHeight="true" outlineLevel="0" collapsed="false">
      <c r="A35" s="14" t="s">
        <v>91</v>
      </c>
      <c r="B35" s="15" t="s">
        <v>92</v>
      </c>
      <c r="C35" s="15" t="str">
        <f aca="false">DAY(CL35)&amp;" "&amp;INDEX(Lists!$A$1:$A$12,MONTH(CL35))</f>
        <v>20 Oct</v>
      </c>
      <c r="D35" s="15" t="str">
        <f aca="false">DAY(CM35)&amp;" "&amp;INDEX(Lists!$A$1:$A$12,MONTH(CM35))</f>
        <v>11 Nov</v>
      </c>
      <c r="E35" s="15" t="n">
        <f aca="false">CM35-CL35+1</f>
        <v>23</v>
      </c>
      <c r="F35" s="15" t="str">
        <f aca="false">IF(COUNTIF(F36:F37,"Done")=2,"Done",IF(COUNTIF(F36:F37,"Not started")=2,"Not started","In progress"))</f>
        <v>In progress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J35" s="1" t="s">
        <v>33</v>
      </c>
      <c r="CL35" s="5" t="n">
        <f aca="false">MIN(CL36:CL37)</f>
        <v>46315</v>
      </c>
      <c r="CM35" s="5" t="n">
        <f aca="false">MAX(CM36:CM37)</f>
        <v>46337</v>
      </c>
    </row>
    <row r="36" customFormat="false" ht="14.25" hidden="false" customHeight="true" outlineLevel="0" collapsed="false">
      <c r="A36" s="17" t="s">
        <v>93</v>
      </c>
      <c r="B36" s="18"/>
      <c r="C36" s="19" t="s">
        <v>87</v>
      </c>
      <c r="D36" s="19" t="s">
        <v>90</v>
      </c>
      <c r="E36" s="20" t="n">
        <f aca="false">IF(OR(CL36="",CM36=""),"",CM36-CL36+1)</f>
        <v>8</v>
      </c>
      <c r="F36" s="21" t="s">
        <v>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J36" s="1" t="s">
        <v>38</v>
      </c>
      <c r="CL36" s="5" t="n">
        <f aca="false">IFERROR(IF(TRIM(C36)="","",IF(ISNUMBER(C36),C36,DATE(2026,MATCH(LEFT(MID(TRIM(C36),FIND(" ",TRIM(C36))+1,9),3),Lists!$A$1:$A$12,0),VALUE(LEFT(TRIM(C36),FIND(" ",TRIM(C36))-1))))),"")</f>
        <v>46315</v>
      </c>
      <c r="CM36" s="5" t="n">
        <f aca="false">IFERROR(IF(TRIM(D36)="","",IF(ISNUMBER(D36),D36,DATE(2026,MATCH(LEFT(MID(TRIM(D36),FIND(" ",TRIM(D36))+1,9),3),Lists!$A$1:$A$12,0),VALUE(LEFT(TRIM(D36),FIND(" ",TRIM(D36))-1))))),"")</f>
        <v>46322</v>
      </c>
    </row>
    <row r="37" customFormat="false" ht="14.25" hidden="false" customHeight="true" outlineLevel="0" collapsed="false">
      <c r="A37" s="17" t="s">
        <v>94</v>
      </c>
      <c r="B37" s="18"/>
      <c r="C37" s="19" t="s">
        <v>95</v>
      </c>
      <c r="D37" s="19" t="s">
        <v>96</v>
      </c>
      <c r="E37" s="20" t="n">
        <f aca="false">IF(OR(CL37="",CM37=""),"",CM37-CL37+1)</f>
        <v>3</v>
      </c>
      <c r="F37" s="21" t="s">
        <v>62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J37" s="1" t="s">
        <v>38</v>
      </c>
      <c r="CL37" s="5" t="n">
        <f aca="false">IFERROR(IF(TRIM(C37)="","",IF(ISNUMBER(C37),C37,DATE(2026,MATCH(LEFT(MID(TRIM(C37),FIND(" ",TRIM(C37))+1,9),3),Lists!$A$1:$A$12,0),VALUE(LEFT(TRIM(C37),FIND(" ",TRIM(C37))-1))))),"")</f>
        <v>46335</v>
      </c>
      <c r="CM37" s="5" t="n">
        <f aca="false">IFERROR(IF(TRIM(D37)="","",IF(ISNUMBER(D37),D37,DATE(2026,MATCH(LEFT(MID(TRIM(D37),FIND(" ",TRIM(D37))+1,9),3),Lists!$A$1:$A$12,0),VALUE(LEFT(TRIM(D37),FIND(" ",TRIM(D37))-1))))),"")</f>
        <v>46337</v>
      </c>
    </row>
    <row r="38" customFormat="false" ht="15" hidden="false" customHeight="true" outlineLevel="0" collapsed="false">
      <c r="A38" s="14" t="s">
        <v>97</v>
      </c>
      <c r="B38" s="15" t="s">
        <v>98</v>
      </c>
      <c r="C38" s="15" t="str">
        <f aca="false">DAY(CL38)&amp;" "&amp;INDEX(Lists!$A$1:$A$12,MONTH(CL38))</f>
        <v>8 Oct</v>
      </c>
      <c r="D38" s="15" t="str">
        <f aca="false">DAY(CM38)&amp;" "&amp;INDEX(Lists!$A$1:$A$12,MONTH(CM38))</f>
        <v>12 Nov</v>
      </c>
      <c r="E38" s="15" t="n">
        <f aca="false">CM38-CL38+1</f>
        <v>36</v>
      </c>
      <c r="F38" s="15" t="str">
        <f aca="false">IF(COUNTIF(F39:F41,"Done")=3,"Done",IF(COUNTIF(F39:F41,"Not started")=3,"Not started","In progress"))</f>
        <v>In progress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J38" s="1" t="s">
        <v>33</v>
      </c>
      <c r="CL38" s="5" t="n">
        <f aca="false">MIN(CL39:CL41)</f>
        <v>46303</v>
      </c>
      <c r="CM38" s="5" t="n">
        <f aca="false">MAX(CM39:CM41)</f>
        <v>46338</v>
      </c>
    </row>
    <row r="39" customFormat="false" ht="14.25" hidden="false" customHeight="true" outlineLevel="0" collapsed="false">
      <c r="A39" s="17" t="s">
        <v>99</v>
      </c>
      <c r="B39" s="18"/>
      <c r="C39" s="19" t="s">
        <v>73</v>
      </c>
      <c r="D39" s="19" t="s">
        <v>90</v>
      </c>
      <c r="E39" s="20" t="n">
        <f aca="false">IF(OR(CL39="",CM39=""),"",CM39-CL39+1)</f>
        <v>20</v>
      </c>
      <c r="F39" s="21" t="s">
        <v>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J39" s="1" t="s">
        <v>38</v>
      </c>
      <c r="CL39" s="5" t="n">
        <f aca="false">IFERROR(IF(TRIM(C39)="","",IF(ISNUMBER(C39),C39,DATE(2026,MATCH(LEFT(MID(TRIM(C39),FIND(" ",TRIM(C39))+1,9),3),Lists!$A$1:$A$12,0),VALUE(LEFT(TRIM(C39),FIND(" ",TRIM(C39))-1))))),"")</f>
        <v>46303</v>
      </c>
      <c r="CM39" s="5" t="n">
        <f aca="false">IFERROR(IF(TRIM(D39)="","",IF(ISNUMBER(D39),D39,DATE(2026,MATCH(LEFT(MID(TRIM(D39),FIND(" ",TRIM(D39))+1,9),3),Lists!$A$1:$A$12,0),VALUE(LEFT(TRIM(D39),FIND(" ",TRIM(D39))-1))))),"")</f>
        <v>46322</v>
      </c>
    </row>
    <row r="40" customFormat="false" ht="14.25" hidden="false" customHeight="true" outlineLevel="0" collapsed="false">
      <c r="A40" s="17" t="s">
        <v>100</v>
      </c>
      <c r="B40" s="18"/>
      <c r="C40" s="19" t="s">
        <v>101</v>
      </c>
      <c r="D40" s="19" t="s">
        <v>102</v>
      </c>
      <c r="E40" s="20" t="n">
        <f aca="false">IF(OR(CL40="",CM40=""),"",CM40-CL40+1)</f>
        <v>3</v>
      </c>
      <c r="F40" s="21" t="s">
        <v>62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J40" s="1" t="s">
        <v>38</v>
      </c>
      <c r="CL40" s="5" t="n">
        <f aca="false">IFERROR(IF(TRIM(C40)="","",IF(ISNUMBER(C40),C40,DATE(2026,MATCH(LEFT(MID(TRIM(C40),FIND(" ",TRIM(C40))+1,9),3),Lists!$A$1:$A$12,0),VALUE(LEFT(TRIM(C40),FIND(" ",TRIM(C40))-1))))),"")</f>
        <v>46336</v>
      </c>
      <c r="CM40" s="5" t="n">
        <f aca="false">IFERROR(IF(TRIM(D40)="","",IF(ISNUMBER(D40),D40,DATE(2026,MATCH(LEFT(MID(TRIM(D40),FIND(" ",TRIM(D40))+1,9),3),Lists!$A$1:$A$12,0),VALUE(LEFT(TRIM(D40),FIND(" ",TRIM(D40))-1))))),"")</f>
        <v>46338</v>
      </c>
    </row>
    <row r="41" customFormat="false" ht="14.25" hidden="false" customHeight="true" outlineLevel="0" collapsed="false">
      <c r="A41" s="17" t="s">
        <v>103</v>
      </c>
      <c r="B41" s="18"/>
      <c r="C41" s="19" t="s">
        <v>90</v>
      </c>
      <c r="D41" s="19" t="s">
        <v>104</v>
      </c>
      <c r="E41" s="20" t="n">
        <f aca="false">IF(OR(CL41="",CM41=""),"",CM41-CL41+1)</f>
        <v>11</v>
      </c>
      <c r="F41" s="21" t="s">
        <v>105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J41" s="1" t="s">
        <v>38</v>
      </c>
      <c r="CL41" s="5" t="n">
        <f aca="false">IFERROR(IF(TRIM(C41)="","",IF(ISNUMBER(C41),C41,DATE(2026,MATCH(LEFT(MID(TRIM(C41),FIND(" ",TRIM(C41))+1,9),3),Lists!$A$1:$A$12,0),VALUE(LEFT(TRIM(C41),FIND(" ",TRIM(C41))-1))))),"")</f>
        <v>46322</v>
      </c>
      <c r="CM41" s="5" t="n">
        <f aca="false">IFERROR(IF(TRIM(D41)="","",IF(ISNUMBER(D41),D41,DATE(2026,MATCH(LEFT(MID(TRIM(D41),FIND(" ",TRIM(D41))+1,9),3),Lists!$A$1:$A$12,0),VALUE(LEFT(TRIM(D41),FIND(" ",TRIM(D41))-1))))),"")</f>
        <v>46332</v>
      </c>
    </row>
    <row r="42" customFormat="false" ht="15" hidden="false" customHeight="true" outlineLevel="0" collapsed="false">
      <c r="A42" s="14" t="s">
        <v>106</v>
      </c>
      <c r="B42" s="15" t="s">
        <v>107</v>
      </c>
      <c r="C42" s="15" t="str">
        <f aca="false">DAY(CL42)&amp;" "&amp;INDEX(Lists!$A$1:$A$12,MONTH(CL42))</f>
        <v>21 Sep</v>
      </c>
      <c r="D42" s="15" t="str">
        <f aca="false">DAY(CM42)&amp;" "&amp;INDEX(Lists!$A$1:$A$12,MONTH(CM42))</f>
        <v>6 Nov</v>
      </c>
      <c r="E42" s="15" t="n">
        <f aca="false">CM42-CL42+1</f>
        <v>47</v>
      </c>
      <c r="F42" s="15" t="str">
        <f aca="false">IF(COUNTIF(F43:F47,"Done")=5,"Done",IF(COUNTIF(F43:F47,"Not started")=5,"Not started","In progress"))</f>
        <v>In progress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J42" s="1" t="s">
        <v>33</v>
      </c>
      <c r="CL42" s="5" t="n">
        <f aca="false">MIN(CL43:CL47)</f>
        <v>46286</v>
      </c>
      <c r="CM42" s="5" t="n">
        <f aca="false">MAX(CM43:CM47)</f>
        <v>46332</v>
      </c>
    </row>
    <row r="43" customFormat="false" ht="14.25" hidden="false" customHeight="true" outlineLevel="0" collapsed="false">
      <c r="A43" s="17" t="s">
        <v>108</v>
      </c>
      <c r="B43" s="18"/>
      <c r="C43" s="19" t="s">
        <v>77</v>
      </c>
      <c r="D43" s="19" t="s">
        <v>90</v>
      </c>
      <c r="E43" s="20" t="n">
        <f aca="false">IF(OR(CL43="",CM43=""),"",CM43-CL43+1)</f>
        <v>37</v>
      </c>
      <c r="F43" s="21" t="s">
        <v>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J43" s="1" t="s">
        <v>38</v>
      </c>
      <c r="CL43" s="5" t="n">
        <f aca="false">IFERROR(IF(TRIM(C43)="","",IF(ISNUMBER(C43),C43,DATE(2026,MATCH(LEFT(MID(TRIM(C43),FIND(" ",TRIM(C43))+1,9),3),Lists!$A$1:$A$12,0),VALUE(LEFT(TRIM(C43),FIND(" ",TRIM(C43))-1))))),"")</f>
        <v>46286</v>
      </c>
      <c r="CM43" s="5" t="n">
        <f aca="false">IFERROR(IF(TRIM(D43)="","",IF(ISNUMBER(D43),D43,DATE(2026,MATCH(LEFT(MID(TRIM(D43),FIND(" ",TRIM(D43))+1,9),3),Lists!$A$1:$A$12,0),VALUE(LEFT(TRIM(D43),FIND(" ",TRIM(D43))-1))))),"")</f>
        <v>46322</v>
      </c>
    </row>
    <row r="44" customFormat="false" ht="14.25" hidden="false" customHeight="true" outlineLevel="0" collapsed="false">
      <c r="A44" s="17" t="s">
        <v>109</v>
      </c>
      <c r="B44" s="18"/>
      <c r="C44" s="19" t="s">
        <v>84</v>
      </c>
      <c r="D44" s="19" t="s">
        <v>82</v>
      </c>
      <c r="E44" s="20" t="n">
        <f aca="false">IF(OR(CL44="",CM44=""),"",CM44-CL44+1)</f>
        <v>8</v>
      </c>
      <c r="F44" s="21" t="s">
        <v>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J44" s="1" t="s">
        <v>38</v>
      </c>
      <c r="CL44" s="5" t="n">
        <f aca="false">IFERROR(IF(TRIM(C44)="","",IF(ISNUMBER(C44),C44,DATE(2026,MATCH(LEFT(MID(TRIM(C44),FIND(" ",TRIM(C44))+1,9),3),Lists!$A$1:$A$12,0),VALUE(LEFT(TRIM(C44),FIND(" ",TRIM(C44))-1))))),"")</f>
        <v>46310</v>
      </c>
      <c r="CM44" s="5" t="n">
        <f aca="false">IFERROR(IF(TRIM(D44)="","",IF(ISNUMBER(D44),D44,DATE(2026,MATCH(LEFT(MID(TRIM(D44),FIND(" ",TRIM(D44))+1,9),3),Lists!$A$1:$A$12,0),VALUE(LEFT(TRIM(D44),FIND(" ",TRIM(D44))-1))))),"")</f>
        <v>46317</v>
      </c>
    </row>
    <row r="45" customFormat="false" ht="14.25" hidden="false" customHeight="true" outlineLevel="0" collapsed="false">
      <c r="A45" s="17" t="s">
        <v>110</v>
      </c>
      <c r="B45" s="18"/>
      <c r="C45" s="19" t="s">
        <v>84</v>
      </c>
      <c r="D45" s="19" t="s">
        <v>90</v>
      </c>
      <c r="E45" s="20" t="n">
        <f aca="false">IF(OR(CL45="",CM45=""),"",CM45-CL45+1)</f>
        <v>13</v>
      </c>
      <c r="F45" s="21" t="s">
        <v>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J45" s="1" t="s">
        <v>38</v>
      </c>
      <c r="CL45" s="5" t="n">
        <f aca="false">IFERROR(IF(TRIM(C45)="","",IF(ISNUMBER(C45),C45,DATE(2026,MATCH(LEFT(MID(TRIM(C45),FIND(" ",TRIM(C45))+1,9),3),Lists!$A$1:$A$12,0),VALUE(LEFT(TRIM(C45),FIND(" ",TRIM(C45))-1))))),"")</f>
        <v>46310</v>
      </c>
      <c r="CM45" s="5" t="n">
        <f aca="false">IFERROR(IF(TRIM(D45)="","",IF(ISNUMBER(D45),D45,DATE(2026,MATCH(LEFT(MID(TRIM(D45),FIND(" ",TRIM(D45))+1,9),3),Lists!$A$1:$A$12,0),VALUE(LEFT(TRIM(D45),FIND(" ",TRIM(D45))-1))))),"")</f>
        <v>46322</v>
      </c>
    </row>
    <row r="46" customFormat="false" ht="14.25" hidden="false" customHeight="true" outlineLevel="0" collapsed="false">
      <c r="A46" s="17" t="s">
        <v>111</v>
      </c>
      <c r="B46" s="18"/>
      <c r="C46" s="19" t="s">
        <v>112</v>
      </c>
      <c r="D46" s="19" t="s">
        <v>82</v>
      </c>
      <c r="E46" s="20" t="n">
        <f aca="false">IF(OR(CL46="",CM46=""),"",CM46-CL46+1)</f>
        <v>4</v>
      </c>
      <c r="F46" s="21" t="s">
        <v>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J46" s="1" t="s">
        <v>38</v>
      </c>
      <c r="CL46" s="5" t="n">
        <f aca="false">IFERROR(IF(TRIM(C46)="","",IF(ISNUMBER(C46),C46,DATE(2026,MATCH(LEFT(MID(TRIM(C46),FIND(" ",TRIM(C46))+1,9),3),Lists!$A$1:$A$12,0),VALUE(LEFT(TRIM(C46),FIND(" ",TRIM(C46))-1))))),"")</f>
        <v>46314</v>
      </c>
      <c r="CM46" s="5" t="n">
        <f aca="false">IFERROR(IF(TRIM(D46)="","",IF(ISNUMBER(D46),D46,DATE(2026,MATCH(LEFT(MID(TRIM(D46),FIND(" ",TRIM(D46))+1,9),3),Lists!$A$1:$A$12,0),VALUE(LEFT(TRIM(D46),FIND(" ",TRIM(D46))-1))))),"")</f>
        <v>46317</v>
      </c>
    </row>
    <row r="47" customFormat="false" ht="14.25" hidden="false" customHeight="true" outlineLevel="0" collapsed="false">
      <c r="A47" s="17" t="s">
        <v>113</v>
      </c>
      <c r="B47" s="18"/>
      <c r="C47" s="19" t="s">
        <v>61</v>
      </c>
      <c r="D47" s="19" t="s">
        <v>104</v>
      </c>
      <c r="E47" s="20" t="n">
        <f aca="false">IF(OR(CL47="",CM47=""),"",CM47-CL47+1)</f>
        <v>3</v>
      </c>
      <c r="F47" s="21" t="s">
        <v>62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J47" s="1" t="s">
        <v>38</v>
      </c>
      <c r="CL47" s="5" t="n">
        <f aca="false">IFERROR(IF(TRIM(C47)="","",IF(ISNUMBER(C47),C47,DATE(2026,MATCH(LEFT(MID(TRIM(C47),FIND(" ",TRIM(C47))+1,9),3),Lists!$A$1:$A$12,0),VALUE(LEFT(TRIM(C47),FIND(" ",TRIM(C47))-1))))),"")</f>
        <v>46330</v>
      </c>
      <c r="CM47" s="5" t="n">
        <f aca="false">IFERROR(IF(TRIM(D47)="","",IF(ISNUMBER(D47),D47,DATE(2026,MATCH(LEFT(MID(TRIM(D47),FIND(" ",TRIM(D47))+1,9),3),Lists!$A$1:$A$12,0),VALUE(LEFT(TRIM(D47),FIND(" ",TRIM(D47))-1))))),"")</f>
        <v>46332</v>
      </c>
    </row>
    <row r="48" customFormat="false" ht="15" hidden="false" customHeight="true" outlineLevel="0" collapsed="false">
      <c r="A48" s="14" t="s">
        <v>114</v>
      </c>
      <c r="B48" s="15" t="s">
        <v>115</v>
      </c>
      <c r="C48" s="15" t="str">
        <f aca="false">DAY(CL48)&amp;" "&amp;INDEX(Lists!$A$1:$A$12,MONTH(CL48))</f>
        <v>2 Oct</v>
      </c>
      <c r="D48" s="15" t="str">
        <f aca="false">DAY(CM48)&amp;" "&amp;INDEX(Lists!$A$1:$A$12,MONTH(CM48))</f>
        <v>13 Nov</v>
      </c>
      <c r="E48" s="15" t="n">
        <f aca="false">CM48-CL48+1</f>
        <v>43</v>
      </c>
      <c r="F48" s="15" t="str">
        <f aca="false">IF(COUNTIF(F49:F52,"Done")=4,"Done",IF(COUNTIF(F49:F52,"Not started")=4,"Not started","In progress"))</f>
        <v>In progress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J48" s="1" t="s">
        <v>33</v>
      </c>
      <c r="CL48" s="5" t="n">
        <f aca="false">MIN(CL49:CL52)</f>
        <v>46297</v>
      </c>
      <c r="CM48" s="5" t="n">
        <f aca="false">MAX(CM49:CM52)</f>
        <v>46339</v>
      </c>
    </row>
    <row r="49" customFormat="false" ht="14.25" hidden="false" customHeight="true" outlineLevel="0" collapsed="false">
      <c r="A49" s="17" t="s">
        <v>116</v>
      </c>
      <c r="B49" s="18"/>
      <c r="C49" s="19" t="s">
        <v>43</v>
      </c>
      <c r="D49" s="19" t="s">
        <v>104</v>
      </c>
      <c r="E49" s="20" t="n">
        <f aca="false">IF(OR(CL49="",CM49=""),"",CM49-CL49+1)</f>
        <v>36</v>
      </c>
      <c r="F49" s="21" t="s">
        <v>105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J49" s="1" t="s">
        <v>38</v>
      </c>
      <c r="CL49" s="5" t="n">
        <f aca="false">IFERROR(IF(TRIM(C49)="","",IF(ISNUMBER(C49),C49,DATE(2026,MATCH(LEFT(MID(TRIM(C49),FIND(" ",TRIM(C49))+1,9),3),Lists!$A$1:$A$12,0),VALUE(LEFT(TRIM(C49),FIND(" ",TRIM(C49))-1))))),"")</f>
        <v>46297</v>
      </c>
      <c r="CM49" s="5" t="n">
        <f aca="false">IFERROR(IF(TRIM(D49)="","",IF(ISNUMBER(D49),D49,DATE(2026,MATCH(LEFT(MID(TRIM(D49),FIND(" ",TRIM(D49))+1,9),3),Lists!$A$1:$A$12,0),VALUE(LEFT(TRIM(D49),FIND(" ",TRIM(D49))-1))))),"")</f>
        <v>46332</v>
      </c>
    </row>
    <row r="50" customFormat="false" ht="14.25" hidden="false" customHeight="true" outlineLevel="0" collapsed="false">
      <c r="A50" s="17" t="s">
        <v>117</v>
      </c>
      <c r="B50" s="18"/>
      <c r="C50" s="19" t="s">
        <v>60</v>
      </c>
      <c r="D50" s="19" t="s">
        <v>118</v>
      </c>
      <c r="E50" s="20" t="n">
        <f aca="false">IF(OR(CL50="",CM50=""),"",CM50-CL50+1)</f>
        <v>7</v>
      </c>
      <c r="F50" s="21" t="s">
        <v>62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J50" s="1" t="s">
        <v>38</v>
      </c>
      <c r="CL50" s="5" t="n">
        <f aca="false">IFERROR(IF(TRIM(C50)="","",IF(ISNUMBER(C50),C50,DATE(2026,MATCH(LEFT(MID(TRIM(C50),FIND(" ",TRIM(C50))+1,9),3),Lists!$A$1:$A$12,0),VALUE(LEFT(TRIM(C50),FIND(" ",TRIM(C50))-1))))),"")</f>
        <v>46328</v>
      </c>
      <c r="CM50" s="5" t="n">
        <f aca="false">IFERROR(IF(TRIM(D50)="","",IF(ISNUMBER(D50),D50,DATE(2026,MATCH(LEFT(MID(TRIM(D50),FIND(" ",TRIM(D50))+1,9),3),Lists!$A$1:$A$12,0),VALUE(LEFT(TRIM(D50),FIND(" ",TRIM(D50))-1))))),"")</f>
        <v>46334</v>
      </c>
    </row>
    <row r="51" customFormat="false" ht="14.25" hidden="false" customHeight="true" outlineLevel="0" collapsed="false">
      <c r="A51" s="17" t="s">
        <v>119</v>
      </c>
      <c r="B51" s="18"/>
      <c r="C51" s="19" t="s">
        <v>120</v>
      </c>
      <c r="D51" s="19" t="s">
        <v>95</v>
      </c>
      <c r="E51" s="20" t="n">
        <f aca="false">IF(OR(CL51="",CM51=""),"",CM51-CL51+1)</f>
        <v>3</v>
      </c>
      <c r="F51" s="21" t="s">
        <v>62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J51" s="1" t="s">
        <v>38</v>
      </c>
      <c r="CL51" s="5" t="n">
        <f aca="false">IFERROR(IF(TRIM(C51)="","",IF(ISNUMBER(C51),C51,DATE(2026,MATCH(LEFT(MID(TRIM(C51),FIND(" ",TRIM(C51))+1,9),3),Lists!$A$1:$A$12,0),VALUE(LEFT(TRIM(C51),FIND(" ",TRIM(C51))-1))))),"")</f>
        <v>46333</v>
      </c>
      <c r="CM51" s="5" t="n">
        <f aca="false">IFERROR(IF(TRIM(D51)="","",IF(ISNUMBER(D51),D51,DATE(2026,MATCH(LEFT(MID(TRIM(D51),FIND(" ",TRIM(D51))+1,9),3),Lists!$A$1:$A$12,0),VALUE(LEFT(TRIM(D51),FIND(" ",TRIM(D51))-1))))),"")</f>
        <v>46335</v>
      </c>
    </row>
    <row r="52" customFormat="false" ht="14.25" hidden="false" customHeight="true" outlineLevel="0" collapsed="false">
      <c r="A52" s="17" t="s">
        <v>121</v>
      </c>
      <c r="B52" s="18"/>
      <c r="C52" s="19" t="s">
        <v>101</v>
      </c>
      <c r="D52" s="19" t="s">
        <v>122</v>
      </c>
      <c r="E52" s="20" t="n">
        <f aca="false">IF(OR(CL52="",CM52=""),"",CM52-CL52+1)</f>
        <v>4</v>
      </c>
      <c r="F52" s="21" t="s">
        <v>62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J52" s="1" t="s">
        <v>38</v>
      </c>
      <c r="CL52" s="5" t="n">
        <f aca="false">IFERROR(IF(TRIM(C52)="","",IF(ISNUMBER(C52),C52,DATE(2026,MATCH(LEFT(MID(TRIM(C52),FIND(" ",TRIM(C52))+1,9),3),Lists!$A$1:$A$12,0),VALUE(LEFT(TRIM(C52),FIND(" ",TRIM(C52))-1))))),"")</f>
        <v>46336</v>
      </c>
      <c r="CM52" s="5" t="n">
        <f aca="false">IFERROR(IF(TRIM(D52)="","",IF(ISNUMBER(D52),D52,DATE(2026,MATCH(LEFT(MID(TRIM(D52),FIND(" ",TRIM(D52))+1,9),3),Lists!$A$1:$A$12,0),VALUE(LEFT(TRIM(D52),FIND(" ",TRIM(D52))-1))))),"")</f>
        <v>46339</v>
      </c>
    </row>
    <row r="53" customFormat="false" ht="15" hidden="false" customHeight="true" outlineLevel="0" collapsed="false">
      <c r="A53" s="14" t="s">
        <v>123</v>
      </c>
      <c r="B53" s="15" t="s">
        <v>124</v>
      </c>
      <c r="C53" s="15" t="str">
        <f aca="false">DAY(CL53)&amp;" "&amp;INDEX(Lists!$A$1:$A$12,MONTH(CL53))</f>
        <v>21 Oct</v>
      </c>
      <c r="D53" s="15" t="str">
        <f aca="false">DAY(CM53)&amp;" "&amp;INDEX(Lists!$A$1:$A$12,MONTH(CM53))</f>
        <v>15 Nov</v>
      </c>
      <c r="E53" s="15" t="n">
        <f aca="false">CM53-CL53+1</f>
        <v>26</v>
      </c>
      <c r="F53" s="15" t="str">
        <f aca="false">IF(COUNTIF(F54:F55,"Done")=2,"Done",IF(COUNTIF(F54:F55,"Not started")=2,"Not started","In progress"))</f>
        <v>In progress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J53" s="1" t="s">
        <v>33</v>
      </c>
      <c r="CL53" s="5" t="n">
        <f aca="false">MIN(CL54:CL55)</f>
        <v>46316</v>
      </c>
      <c r="CM53" s="5" t="n">
        <f aca="false">MAX(CM54:CM55)</f>
        <v>46341</v>
      </c>
    </row>
    <row r="54" customFormat="false" ht="14.25" hidden="false" customHeight="true" outlineLevel="0" collapsed="false">
      <c r="A54" s="17" t="s">
        <v>125</v>
      </c>
      <c r="B54" s="18"/>
      <c r="C54" s="19" t="s">
        <v>85</v>
      </c>
      <c r="D54" s="19" t="s">
        <v>90</v>
      </c>
      <c r="E54" s="20" t="n">
        <f aca="false">IF(OR(CL54="",CM54=""),"",CM54-CL54+1)</f>
        <v>7</v>
      </c>
      <c r="F54" s="21" t="s">
        <v>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J54" s="1" t="s">
        <v>38</v>
      </c>
      <c r="CL54" s="5" t="n">
        <f aca="false">IFERROR(IF(TRIM(C54)="","",IF(ISNUMBER(C54),C54,DATE(2026,MATCH(LEFT(MID(TRIM(C54),FIND(" ",TRIM(C54))+1,9),3),Lists!$A$1:$A$12,0),VALUE(LEFT(TRIM(C54),FIND(" ",TRIM(C54))-1))))),"")</f>
        <v>46316</v>
      </c>
      <c r="CM54" s="5" t="n">
        <f aca="false">IFERROR(IF(TRIM(D54)="","",IF(ISNUMBER(D54),D54,DATE(2026,MATCH(LEFT(MID(TRIM(D54),FIND(" ",TRIM(D54))+1,9),3),Lists!$A$1:$A$12,0),VALUE(LEFT(TRIM(D54),FIND(" ",TRIM(D54))-1))))),"")</f>
        <v>46322</v>
      </c>
    </row>
    <row r="55" customFormat="false" ht="14.25" hidden="false" customHeight="true" outlineLevel="0" collapsed="false">
      <c r="A55" s="17" t="s">
        <v>126</v>
      </c>
      <c r="B55" s="18"/>
      <c r="C55" s="19" t="s">
        <v>122</v>
      </c>
      <c r="D55" s="19" t="s">
        <v>127</v>
      </c>
      <c r="E55" s="20" t="n">
        <f aca="false">IF(OR(CL55="",CM55=""),"",CM55-CL55+1)</f>
        <v>3</v>
      </c>
      <c r="F55" s="21" t="s">
        <v>62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J55" s="1" t="s">
        <v>38</v>
      </c>
      <c r="CL55" s="5" t="n">
        <f aca="false">IFERROR(IF(TRIM(C55)="","",IF(ISNUMBER(C55),C55,DATE(2026,MATCH(LEFT(MID(TRIM(C55),FIND(" ",TRIM(C55))+1,9),3),Lists!$A$1:$A$12,0),VALUE(LEFT(TRIM(C55),FIND(" ",TRIM(C55))-1))))),"")</f>
        <v>46339</v>
      </c>
      <c r="CM55" s="5" t="n">
        <f aca="false">IFERROR(IF(TRIM(D55)="","",IF(ISNUMBER(D55),D55,DATE(2026,MATCH(LEFT(MID(TRIM(D55),FIND(" ",TRIM(D55))+1,9),3),Lists!$A$1:$A$12,0),VALUE(LEFT(TRIM(D55),FIND(" ",TRIM(D55))-1))))),"")</f>
        <v>46341</v>
      </c>
    </row>
    <row r="56" customFormat="false" ht="15" hidden="false" customHeight="true" outlineLevel="0" collapsed="false">
      <c r="A56" s="14" t="s">
        <v>128</v>
      </c>
      <c r="B56" s="15" t="s">
        <v>129</v>
      </c>
      <c r="C56" s="15" t="str">
        <f aca="false">DAY(CL56)&amp;" "&amp;INDEX(Lists!$A$1:$A$12,MONTH(CL56))</f>
        <v>27 Oct</v>
      </c>
      <c r="D56" s="15" t="str">
        <f aca="false">DAY(CM56)&amp;" "&amp;INDEX(Lists!$A$1:$A$12,MONTH(CM56))</f>
        <v>25 Nov</v>
      </c>
      <c r="E56" s="15" t="n">
        <f aca="false">CM56-CL56+1</f>
        <v>30</v>
      </c>
      <c r="F56" s="15" t="str">
        <f aca="false">IF(COUNTIF(F57:F64,"Done")=8,"Done",IF(COUNTIF(F57:F64,"Not started")=8,"Not started","In progress"))</f>
        <v>In progress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J56" s="1" t="s">
        <v>33</v>
      </c>
      <c r="CL56" s="5" t="n">
        <f aca="false">MIN(CL57:CL64)</f>
        <v>46322</v>
      </c>
      <c r="CM56" s="5" t="n">
        <f aca="false">MAX(CM57:CM64)</f>
        <v>46351</v>
      </c>
    </row>
    <row r="57" customFormat="false" ht="14.25" hidden="false" customHeight="true" outlineLevel="0" collapsed="false">
      <c r="A57" s="17" t="s">
        <v>130</v>
      </c>
      <c r="B57" s="18"/>
      <c r="C57" s="19" t="s">
        <v>95</v>
      </c>
      <c r="D57" s="19" t="s">
        <v>131</v>
      </c>
      <c r="E57" s="20" t="n">
        <f aca="false">IF(OR(CL57="",CM57=""),"",CM57-CL57+1)</f>
        <v>6</v>
      </c>
      <c r="F57" s="21" t="s">
        <v>62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J57" s="1" t="s">
        <v>38</v>
      </c>
      <c r="CL57" s="5" t="n">
        <f aca="false">IFERROR(IF(TRIM(C57)="","",IF(ISNUMBER(C57),C57,DATE(2026,MATCH(LEFT(MID(TRIM(C57),FIND(" ",TRIM(C57))+1,9),3),Lists!$A$1:$A$12,0),VALUE(LEFT(TRIM(C57),FIND(" ",TRIM(C57))-1))))),"")</f>
        <v>46335</v>
      </c>
      <c r="CM57" s="5" t="n">
        <f aca="false">IFERROR(IF(TRIM(D57)="","",IF(ISNUMBER(D57),D57,DATE(2026,MATCH(LEFT(MID(TRIM(D57),FIND(" ",TRIM(D57))+1,9),3),Lists!$A$1:$A$12,0),VALUE(LEFT(TRIM(D57),FIND(" ",TRIM(D57))-1))))),"")</f>
        <v>46340</v>
      </c>
    </row>
    <row r="58" customFormat="false" ht="14.25" hidden="false" customHeight="true" outlineLevel="0" collapsed="false">
      <c r="A58" s="17" t="s">
        <v>132</v>
      </c>
      <c r="B58" s="18"/>
      <c r="C58" s="19" t="s">
        <v>102</v>
      </c>
      <c r="D58" s="19" t="s">
        <v>127</v>
      </c>
      <c r="E58" s="20" t="n">
        <f aca="false">IF(OR(CL58="",CM58=""),"",CM58-CL58+1)</f>
        <v>4</v>
      </c>
      <c r="F58" s="21" t="s">
        <v>62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J58" s="1" t="s">
        <v>38</v>
      </c>
      <c r="CL58" s="5" t="n">
        <f aca="false">IFERROR(IF(TRIM(C58)="","",IF(ISNUMBER(C58),C58,DATE(2026,MATCH(LEFT(MID(TRIM(C58),FIND(" ",TRIM(C58))+1,9),3),Lists!$A$1:$A$12,0),VALUE(LEFT(TRIM(C58),FIND(" ",TRIM(C58))-1))))),"")</f>
        <v>46338</v>
      </c>
      <c r="CM58" s="5" t="n">
        <f aca="false">IFERROR(IF(TRIM(D58)="","",IF(ISNUMBER(D58),D58,DATE(2026,MATCH(LEFT(MID(TRIM(D58),FIND(" ",TRIM(D58))+1,9),3),Lists!$A$1:$A$12,0),VALUE(LEFT(TRIM(D58),FIND(" ",TRIM(D58))-1))))),"")</f>
        <v>46341</v>
      </c>
    </row>
    <row r="59" customFormat="false" ht="14.25" hidden="false" customHeight="true" outlineLevel="0" collapsed="false">
      <c r="A59" s="17" t="s">
        <v>133</v>
      </c>
      <c r="B59" s="18"/>
      <c r="C59" s="19" t="s">
        <v>90</v>
      </c>
      <c r="D59" s="19" t="s">
        <v>134</v>
      </c>
      <c r="E59" s="20" t="n">
        <f aca="false">IF(OR(CL59="",CM59=""),"",CM59-CL59+1)</f>
        <v>2</v>
      </c>
      <c r="F59" s="21" t="s">
        <v>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J59" s="1" t="s">
        <v>38</v>
      </c>
      <c r="CL59" s="5" t="n">
        <f aca="false">IFERROR(IF(TRIM(C59)="","",IF(ISNUMBER(C59),C59,DATE(2026,MATCH(LEFT(MID(TRIM(C59),FIND(" ",TRIM(C59))+1,9),3),Lists!$A$1:$A$12,0),VALUE(LEFT(TRIM(C59),FIND(" ",TRIM(C59))-1))))),"")</f>
        <v>46322</v>
      </c>
      <c r="CM59" s="5" t="n">
        <f aca="false">IFERROR(IF(TRIM(D59)="","",IF(ISNUMBER(D59),D59,DATE(2026,MATCH(LEFT(MID(TRIM(D59),FIND(" ",TRIM(D59))+1,9),3),Lists!$A$1:$A$12,0),VALUE(LEFT(TRIM(D59),FIND(" ",TRIM(D59))-1))))),"")</f>
        <v>46323</v>
      </c>
    </row>
    <row r="60" customFormat="false" ht="14.25" hidden="false" customHeight="true" outlineLevel="0" collapsed="false">
      <c r="A60" s="17" t="s">
        <v>135</v>
      </c>
      <c r="B60" s="18"/>
      <c r="C60" s="19" t="s">
        <v>131</v>
      </c>
      <c r="D60" s="19" t="s">
        <v>136</v>
      </c>
      <c r="E60" s="20" t="n">
        <f aca="false">IF(OR(CL60="",CM60=""),"",CM60-CL60+1)</f>
        <v>3</v>
      </c>
      <c r="F60" s="21" t="s">
        <v>62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J60" s="1" t="s">
        <v>38</v>
      </c>
      <c r="CL60" s="5" t="n">
        <f aca="false">IFERROR(IF(TRIM(C60)="","",IF(ISNUMBER(C60),C60,DATE(2026,MATCH(LEFT(MID(TRIM(C60),FIND(" ",TRIM(C60))+1,9),3),Lists!$A$1:$A$12,0),VALUE(LEFT(TRIM(C60),FIND(" ",TRIM(C60))-1))))),"")</f>
        <v>46340</v>
      </c>
      <c r="CM60" s="5" t="n">
        <f aca="false">IFERROR(IF(TRIM(D60)="","",IF(ISNUMBER(D60),D60,DATE(2026,MATCH(LEFT(MID(TRIM(D60),FIND(" ",TRIM(D60))+1,9),3),Lists!$A$1:$A$12,0),VALUE(LEFT(TRIM(D60),FIND(" ",TRIM(D60))-1))))),"")</f>
        <v>46342</v>
      </c>
    </row>
    <row r="61" customFormat="false" ht="14.25" hidden="false" customHeight="true" outlineLevel="0" collapsed="false">
      <c r="A61" s="17" t="s">
        <v>137</v>
      </c>
      <c r="B61" s="18"/>
      <c r="C61" s="19" t="s">
        <v>60</v>
      </c>
      <c r="D61" s="19" t="s">
        <v>122</v>
      </c>
      <c r="E61" s="20" t="n">
        <f aca="false">IF(OR(CL61="",CM61=""),"",CM61-CL61+1)</f>
        <v>12</v>
      </c>
      <c r="F61" s="21" t="s">
        <v>62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J61" s="1" t="s">
        <v>38</v>
      </c>
      <c r="CL61" s="5" t="n">
        <f aca="false">IFERROR(IF(TRIM(C61)="","",IF(ISNUMBER(C61),C61,DATE(2026,MATCH(LEFT(MID(TRIM(C61),FIND(" ",TRIM(C61))+1,9),3),Lists!$A$1:$A$12,0),VALUE(LEFT(TRIM(C61),FIND(" ",TRIM(C61))-1))))),"")</f>
        <v>46328</v>
      </c>
      <c r="CM61" s="5" t="n">
        <f aca="false">IFERROR(IF(TRIM(D61)="","",IF(ISNUMBER(D61),D61,DATE(2026,MATCH(LEFT(MID(TRIM(D61),FIND(" ",TRIM(D61))+1,9),3),Lists!$A$1:$A$12,0),VALUE(LEFT(TRIM(D61),FIND(" ",TRIM(D61))-1))))),"")</f>
        <v>46339</v>
      </c>
    </row>
    <row r="62" customFormat="false" ht="14.25" hidden="false" customHeight="true" outlineLevel="0" collapsed="false">
      <c r="A62" s="17" t="s">
        <v>138</v>
      </c>
      <c r="B62" s="18"/>
      <c r="C62" s="19" t="s">
        <v>131</v>
      </c>
      <c r="D62" s="19" t="s">
        <v>139</v>
      </c>
      <c r="E62" s="20" t="n">
        <f aca="false">IF(OR(CL62="",CM62=""),"",CM62-CL62+1)</f>
        <v>7</v>
      </c>
      <c r="F62" s="21" t="s">
        <v>62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J62" s="1" t="s">
        <v>38</v>
      </c>
      <c r="CL62" s="5" t="n">
        <f aca="false">IFERROR(IF(TRIM(C62)="","",IF(ISNUMBER(C62),C62,DATE(2026,MATCH(LEFT(MID(TRIM(C62),FIND(" ",TRIM(C62))+1,9),3),Lists!$A$1:$A$12,0),VALUE(LEFT(TRIM(C62),FIND(" ",TRIM(C62))-1))))),"")</f>
        <v>46340</v>
      </c>
      <c r="CM62" s="5" t="n">
        <f aca="false">IFERROR(IF(TRIM(D62)="","",IF(ISNUMBER(D62),D62,DATE(2026,MATCH(LEFT(MID(TRIM(D62),FIND(" ",TRIM(D62))+1,9),3),Lists!$A$1:$A$12,0),VALUE(LEFT(TRIM(D62),FIND(" ",TRIM(D62))-1))))),"")</f>
        <v>46346</v>
      </c>
    </row>
    <row r="63" customFormat="false" ht="14.25" hidden="false" customHeight="true" outlineLevel="0" collapsed="false">
      <c r="A63" s="17" t="s">
        <v>140</v>
      </c>
      <c r="B63" s="18"/>
      <c r="C63" s="19" t="s">
        <v>141</v>
      </c>
      <c r="D63" s="19" t="s">
        <v>142</v>
      </c>
      <c r="E63" s="20" t="n">
        <f aca="false">IF(OR(CL63="",CM63=""),"",CM63-CL63+1)</f>
        <v>5</v>
      </c>
      <c r="F63" s="21" t="s">
        <v>62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J63" s="1" t="s">
        <v>38</v>
      </c>
      <c r="CL63" s="5" t="n">
        <f aca="false">IFERROR(IF(TRIM(C63)="","",IF(ISNUMBER(C63),C63,DATE(2026,MATCH(LEFT(MID(TRIM(C63),FIND(" ",TRIM(C63))+1,9),3),Lists!$A$1:$A$12,0),VALUE(LEFT(TRIM(C63),FIND(" ",TRIM(C63))-1))))),"")</f>
        <v>46343</v>
      </c>
      <c r="CM63" s="5" t="n">
        <f aca="false">IFERROR(IF(TRIM(D63)="","",IF(ISNUMBER(D63),D63,DATE(2026,MATCH(LEFT(MID(TRIM(D63),FIND(" ",TRIM(D63))+1,9),3),Lists!$A$1:$A$12,0),VALUE(LEFT(TRIM(D63),FIND(" ",TRIM(D63))-1))))),"")</f>
        <v>46347</v>
      </c>
    </row>
    <row r="64" customFormat="false" ht="14.25" hidden="false" customHeight="true" outlineLevel="0" collapsed="false">
      <c r="A64" s="17" t="s">
        <v>143</v>
      </c>
      <c r="B64" s="18"/>
      <c r="C64" s="19" t="s">
        <v>144</v>
      </c>
      <c r="D64" s="19" t="s">
        <v>145</v>
      </c>
      <c r="E64" s="20" t="n">
        <f aca="false">IF(OR(CL64="",CM64=""),"",CM64-CL64+1)</f>
        <v>4</v>
      </c>
      <c r="F64" s="21" t="s">
        <v>62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J64" s="1" t="s">
        <v>38</v>
      </c>
      <c r="CL64" s="5" t="n">
        <f aca="false">IFERROR(IF(TRIM(C64)="","",IF(ISNUMBER(C64),C64,DATE(2026,MATCH(LEFT(MID(TRIM(C64),FIND(" ",TRIM(C64))+1,9),3),Lists!$A$1:$A$12,0),VALUE(LEFT(TRIM(C64),FIND(" ",TRIM(C64))-1))))),"")</f>
        <v>46348</v>
      </c>
      <c r="CM64" s="5" t="n">
        <f aca="false">IFERROR(IF(TRIM(D64)="","",IF(ISNUMBER(D64),D64,DATE(2026,MATCH(LEFT(MID(TRIM(D64),FIND(" ",TRIM(D64))+1,9),3),Lists!$A$1:$A$12,0),VALUE(LEFT(TRIM(D64),FIND(" ",TRIM(D64))-1))))),"")</f>
        <v>46351</v>
      </c>
    </row>
    <row r="65" customFormat="false" ht="15" hidden="false" customHeight="true" outlineLevel="0" collapsed="false">
      <c r="A65" s="14" t="s">
        <v>146</v>
      </c>
      <c r="B65" s="15" t="s">
        <v>147</v>
      </c>
      <c r="C65" s="15" t="str">
        <f aca="false">DAY(CL65)&amp;" "&amp;INDEX(Lists!$A$1:$A$12,MONTH(CL65))</f>
        <v>26 Nov</v>
      </c>
      <c r="D65" s="15" t="str">
        <f aca="false">DAY(CM65)&amp;" "&amp;INDEX(Lists!$A$1:$A$12,MONTH(CM65))</f>
        <v>1 Dec</v>
      </c>
      <c r="E65" s="15" t="n">
        <f aca="false">CM65-CL65+1</f>
        <v>6</v>
      </c>
      <c r="F65" s="15" t="str">
        <f aca="false">IF(COUNTIF(F66:F67,"Done")=2,"Done",IF(COUNTIF(F66:F67,"Not started")=2,"Not started","In progress"))</f>
        <v>Not started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J65" s="1" t="s">
        <v>33</v>
      </c>
      <c r="CL65" s="5" t="n">
        <f aca="false">MIN(CL66:CL67)</f>
        <v>46352</v>
      </c>
      <c r="CM65" s="5" t="n">
        <f aca="false">MAX(CM66:CM67)</f>
        <v>46357</v>
      </c>
    </row>
    <row r="66" customFormat="false" ht="14.25" hidden="false" customHeight="true" outlineLevel="0" collapsed="false">
      <c r="A66" s="17" t="s">
        <v>148</v>
      </c>
      <c r="B66" s="18"/>
      <c r="C66" s="19" t="s">
        <v>149</v>
      </c>
      <c r="D66" s="19" t="s">
        <v>150</v>
      </c>
      <c r="E66" s="20" t="n">
        <f aca="false">IF(OR(CL66="",CM66=""),"",CM66-CL66+1)</f>
        <v>5</v>
      </c>
      <c r="F66" s="21" t="s">
        <v>62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J66" s="1" t="s">
        <v>38</v>
      </c>
      <c r="CL66" s="5" t="n">
        <f aca="false">IFERROR(IF(TRIM(C66)="","",IF(ISNUMBER(C66),C66,DATE(2026,MATCH(LEFT(MID(TRIM(C66),FIND(" ",TRIM(C66))+1,9),3),Lists!$A$1:$A$12,0),VALUE(LEFT(TRIM(C66),FIND(" ",TRIM(C66))-1))))),"")</f>
        <v>46352</v>
      </c>
      <c r="CM66" s="5" t="n">
        <f aca="false">IFERROR(IF(TRIM(D66)="","",IF(ISNUMBER(D66),D66,DATE(2026,MATCH(LEFT(MID(TRIM(D66),FIND(" ",TRIM(D66))+1,9),3),Lists!$A$1:$A$12,0),VALUE(LEFT(TRIM(D66),FIND(" ",TRIM(D66))-1))))),"")</f>
        <v>46356</v>
      </c>
    </row>
    <row r="67" customFormat="false" ht="14.25" hidden="false" customHeight="true" outlineLevel="0" collapsed="false">
      <c r="A67" s="17" t="s">
        <v>151</v>
      </c>
      <c r="B67" s="18"/>
      <c r="C67" s="19" t="s">
        <v>152</v>
      </c>
      <c r="D67" s="19" t="s">
        <v>153</v>
      </c>
      <c r="E67" s="20" t="n">
        <f aca="false">IF(OR(CL67="",CM67=""),"",CM67-CL67+1)</f>
        <v>4</v>
      </c>
      <c r="F67" s="21" t="s">
        <v>62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J67" s="1" t="s">
        <v>38</v>
      </c>
      <c r="CL67" s="5" t="n">
        <f aca="false">IFERROR(IF(TRIM(C67)="","",IF(ISNUMBER(C67),C67,DATE(2026,MATCH(LEFT(MID(TRIM(C67),FIND(" ",TRIM(C67))+1,9),3),Lists!$A$1:$A$12,0),VALUE(LEFT(TRIM(C67),FIND(" ",TRIM(C67))-1))))),"")</f>
        <v>46354</v>
      </c>
      <c r="CM67" s="5" t="n">
        <f aca="false">IFERROR(IF(TRIM(D67)="","",IF(ISNUMBER(D67),D67,DATE(2026,MATCH(LEFT(MID(TRIM(D67),FIND(" ",TRIM(D67))+1,9),3),Lists!$A$1:$A$12,0),VALUE(LEFT(TRIM(D67),FIND(" ",TRIM(D67))-1))))),"")</f>
        <v>46357</v>
      </c>
    </row>
    <row r="68" customFormat="false" ht="15" hidden="false" customHeight="true" outlineLevel="0" collapsed="false">
      <c r="A68" s="14" t="s">
        <v>154</v>
      </c>
      <c r="B68" s="15" t="s">
        <v>147</v>
      </c>
      <c r="C68" s="15" t="str">
        <f aca="false">DAY(CL68)&amp;" "&amp;INDEX(Lists!$A$1:$A$12,MONTH(CL68))</f>
        <v>12 Oct</v>
      </c>
      <c r="D68" s="15" t="str">
        <f aca="false">DAY(CM68)&amp;" "&amp;INDEX(Lists!$A$1:$A$12,MONTH(CM68))</f>
        <v>28 Oct</v>
      </c>
      <c r="E68" s="15" t="n">
        <f aca="false">CM68-CL68+1</f>
        <v>17</v>
      </c>
      <c r="F68" s="15" t="str">
        <f aca="false">IF(COUNTIF(F69:F71,"Done")=3,"Done",IF(COUNTIF(F69:F71,"Not started")=3,"Not started","In progress"))</f>
        <v>Done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J68" s="1" t="s">
        <v>33</v>
      </c>
      <c r="CL68" s="5" t="n">
        <f aca="false">MIN(CL69:CL71)</f>
        <v>46307</v>
      </c>
      <c r="CM68" s="5" t="n">
        <f aca="false">MAX(CM69:CM71)</f>
        <v>46323</v>
      </c>
    </row>
    <row r="69" customFormat="false" ht="14.25" hidden="false" customHeight="true" outlineLevel="0" collapsed="false">
      <c r="A69" s="17" t="s">
        <v>155</v>
      </c>
      <c r="B69" s="18"/>
      <c r="C69" s="19" t="s">
        <v>156</v>
      </c>
      <c r="D69" s="19" t="s">
        <v>85</v>
      </c>
      <c r="E69" s="20" t="n">
        <f aca="false">IF(OR(CL69="",CM69=""),"",CM69-CL69+1)</f>
        <v>10</v>
      </c>
      <c r="F69" s="21" t="s">
        <v>37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J69" s="1" t="s">
        <v>38</v>
      </c>
      <c r="CL69" s="5" t="n">
        <f aca="false">IFERROR(IF(TRIM(C69)="","",IF(ISNUMBER(C69),C69,DATE(2026,MATCH(LEFT(MID(TRIM(C69),FIND(" ",TRIM(C69))+1,9),3),Lists!$A$1:$A$12,0),VALUE(LEFT(TRIM(C69),FIND(" ",TRIM(C69))-1))))),"")</f>
        <v>46307</v>
      </c>
      <c r="CM69" s="5" t="n">
        <f aca="false">IFERROR(IF(TRIM(D69)="","",IF(ISNUMBER(D69),D69,DATE(2026,MATCH(LEFT(MID(TRIM(D69),FIND(" ",TRIM(D69))+1,9),3),Lists!$A$1:$A$12,0),VALUE(LEFT(TRIM(D69),FIND(" ",TRIM(D69))-1))))),"")</f>
        <v>46316</v>
      </c>
    </row>
    <row r="70" customFormat="false" ht="14.25" hidden="false" customHeight="true" outlineLevel="0" collapsed="false">
      <c r="A70" s="17" t="s">
        <v>157</v>
      </c>
      <c r="B70" s="18"/>
      <c r="C70" s="19" t="s">
        <v>85</v>
      </c>
      <c r="D70" s="19" t="s">
        <v>82</v>
      </c>
      <c r="E70" s="20" t="n">
        <f aca="false">IF(OR(CL70="",CM70=""),"",CM70-CL70+1)</f>
        <v>2</v>
      </c>
      <c r="F70" s="21" t="s">
        <v>37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J70" s="1" t="s">
        <v>38</v>
      </c>
      <c r="CL70" s="5" t="n">
        <f aca="false">IFERROR(IF(TRIM(C70)="","",IF(ISNUMBER(C70),C70,DATE(2026,MATCH(LEFT(MID(TRIM(C70),FIND(" ",TRIM(C70))+1,9),3),Lists!$A$1:$A$12,0),VALUE(LEFT(TRIM(C70),FIND(" ",TRIM(C70))-1))))),"")</f>
        <v>46316</v>
      </c>
      <c r="CM70" s="5" t="n">
        <f aca="false">IFERROR(IF(TRIM(D70)="","",IF(ISNUMBER(D70),D70,DATE(2026,MATCH(LEFT(MID(TRIM(D70),FIND(" ",TRIM(D70))+1,9),3),Lists!$A$1:$A$12,0),VALUE(LEFT(TRIM(D70),FIND(" ",TRIM(D70))-1))))),"")</f>
        <v>46317</v>
      </c>
    </row>
    <row r="71" customFormat="false" ht="14.25" hidden="false" customHeight="true" outlineLevel="0" collapsed="false">
      <c r="A71" s="17" t="s">
        <v>158</v>
      </c>
      <c r="B71" s="18"/>
      <c r="C71" s="19" t="s">
        <v>134</v>
      </c>
      <c r="D71" s="19" t="s">
        <v>134</v>
      </c>
      <c r="E71" s="20" t="n">
        <f aca="false">IF(OR(CL71="",CM71=""),"",CM71-CL71+1)</f>
        <v>1</v>
      </c>
      <c r="F71" s="21" t="s">
        <v>37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J71" s="1" t="s">
        <v>38</v>
      </c>
      <c r="CL71" s="5" t="n">
        <f aca="false">IFERROR(IF(TRIM(C71)="","",IF(ISNUMBER(C71),C71,DATE(2026,MATCH(LEFT(MID(TRIM(C71),FIND(" ",TRIM(C71))+1,9),3),Lists!$A$1:$A$12,0),VALUE(LEFT(TRIM(C71),FIND(" ",TRIM(C71))-1))))),"")</f>
        <v>46323</v>
      </c>
      <c r="CM71" s="5" t="n">
        <f aca="false">IFERROR(IF(TRIM(D71)="","",IF(ISNUMBER(D71),D71,DATE(2026,MATCH(LEFT(MID(TRIM(D71),FIND(" ",TRIM(D71))+1,9),3),Lists!$A$1:$A$12,0),VALUE(LEFT(TRIM(D71),FIND(" ",TRIM(D71))-1))))),"")</f>
        <v>46323</v>
      </c>
    </row>
    <row r="72" customFormat="false" ht="15" hidden="false" customHeight="true" outlineLevel="0" collapsed="false">
      <c r="A72" s="14" t="s">
        <v>159</v>
      </c>
      <c r="B72" s="15" t="s">
        <v>147</v>
      </c>
      <c r="C72" s="15" t="str">
        <f aca="false">DAY(CL72)&amp;" "&amp;INDEX(Lists!$A$1:$A$12,MONTH(CL72))</f>
        <v>27 Oct</v>
      </c>
      <c r="D72" s="15" t="str">
        <f aca="false">DAY(CM72)&amp;" "&amp;INDEX(Lists!$A$1:$A$12,MONTH(CM72))</f>
        <v>10 Nov</v>
      </c>
      <c r="E72" s="15" t="n">
        <f aca="false">CM72-CL72+1</f>
        <v>15</v>
      </c>
      <c r="F72" s="15" t="str">
        <f aca="false">IF(COUNTIF(F73:F76,"Done")=4,"Done",IF(COUNTIF(F73:F76,"Not started")=4,"Not started","In progress"))</f>
        <v>In progress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J72" s="1" t="s">
        <v>33</v>
      </c>
      <c r="CL72" s="5" t="n">
        <f aca="false">MIN(CL73:CL76)</f>
        <v>46322</v>
      </c>
      <c r="CM72" s="5" t="n">
        <f aca="false">MAX(CM73:CM76)</f>
        <v>46336</v>
      </c>
    </row>
    <row r="73" customFormat="false" ht="14.25" hidden="false" customHeight="true" outlineLevel="0" collapsed="false">
      <c r="A73" s="17" t="s">
        <v>160</v>
      </c>
      <c r="B73" s="18"/>
      <c r="C73" s="19" t="s">
        <v>90</v>
      </c>
      <c r="D73" s="19" t="s">
        <v>90</v>
      </c>
      <c r="E73" s="20" t="n">
        <f aca="false">IF(OR(CL73="",CM73=""),"",CM73-CL73+1)</f>
        <v>1</v>
      </c>
      <c r="F73" s="21" t="s">
        <v>37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J73" s="1" t="s">
        <v>38</v>
      </c>
      <c r="CL73" s="5" t="n">
        <f aca="false">IFERROR(IF(TRIM(C73)="","",IF(ISNUMBER(C73),C73,DATE(2026,MATCH(LEFT(MID(TRIM(C73),FIND(" ",TRIM(C73))+1,9),3),Lists!$A$1:$A$12,0),VALUE(LEFT(TRIM(C73),FIND(" ",TRIM(C73))-1))))),"")</f>
        <v>46322</v>
      </c>
      <c r="CM73" s="5" t="n">
        <f aca="false">IFERROR(IF(TRIM(D73)="","",IF(ISNUMBER(D73),D73,DATE(2026,MATCH(LEFT(MID(TRIM(D73),FIND(" ",TRIM(D73))+1,9),3),Lists!$A$1:$A$12,0),VALUE(LEFT(TRIM(D73),FIND(" ",TRIM(D73))-1))))),"")</f>
        <v>46322</v>
      </c>
    </row>
    <row r="74" customFormat="false" ht="14.25" hidden="false" customHeight="true" outlineLevel="0" collapsed="false">
      <c r="A74" s="17" t="s">
        <v>161</v>
      </c>
      <c r="B74" s="18"/>
      <c r="C74" s="19" t="s">
        <v>90</v>
      </c>
      <c r="D74" s="19" t="s">
        <v>90</v>
      </c>
      <c r="E74" s="20" t="n">
        <f aca="false">IF(OR(CL74="",CM74=""),"",CM74-CL74+1)</f>
        <v>1</v>
      </c>
      <c r="F74" s="21" t="s">
        <v>37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J74" s="1" t="s">
        <v>38</v>
      </c>
      <c r="CL74" s="5" t="n">
        <f aca="false">IFERROR(IF(TRIM(C74)="","",IF(ISNUMBER(C74),C74,DATE(2026,MATCH(LEFT(MID(TRIM(C74),FIND(" ",TRIM(C74))+1,9),3),Lists!$A$1:$A$12,0),VALUE(LEFT(TRIM(C74),FIND(" ",TRIM(C74))-1))))),"")</f>
        <v>46322</v>
      </c>
      <c r="CM74" s="5" t="n">
        <f aca="false">IFERROR(IF(TRIM(D74)="","",IF(ISNUMBER(D74),D74,DATE(2026,MATCH(LEFT(MID(TRIM(D74),FIND(" ",TRIM(D74))+1,9),3),Lists!$A$1:$A$12,0),VALUE(LEFT(TRIM(D74),FIND(" ",TRIM(D74))-1))))),"")</f>
        <v>46322</v>
      </c>
    </row>
    <row r="75" customFormat="false" ht="14.25" hidden="false" customHeight="true" outlineLevel="0" collapsed="false">
      <c r="A75" s="17" t="s">
        <v>162</v>
      </c>
      <c r="B75" s="18"/>
      <c r="C75" s="19" t="s">
        <v>163</v>
      </c>
      <c r="D75" s="19" t="s">
        <v>163</v>
      </c>
      <c r="E75" s="20" t="n">
        <f aca="false">IF(OR(CL75="",CM75=""),"",CM75-CL75+1)</f>
        <v>1</v>
      </c>
      <c r="F75" s="21" t="s">
        <v>37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J75" s="1" t="s">
        <v>38</v>
      </c>
      <c r="CL75" s="5" t="n">
        <f aca="false">IFERROR(IF(TRIM(C75)="","",IF(ISNUMBER(C75),C75,DATE(2026,MATCH(LEFT(MID(TRIM(C75),FIND(" ",TRIM(C75))+1,9),3),Lists!$A$1:$A$12,0),VALUE(LEFT(TRIM(C75),FIND(" ",TRIM(C75))-1))))),"")</f>
        <v>46326</v>
      </c>
      <c r="CM75" s="5" t="n">
        <f aca="false">IFERROR(IF(TRIM(D75)="","",IF(ISNUMBER(D75),D75,DATE(2026,MATCH(LEFT(MID(TRIM(D75),FIND(" ",TRIM(D75))+1,9),3),Lists!$A$1:$A$12,0),VALUE(LEFT(TRIM(D75),FIND(" ",TRIM(D75))-1))))),"")</f>
        <v>46326</v>
      </c>
    </row>
    <row r="76" customFormat="false" ht="14.25" hidden="false" customHeight="true" outlineLevel="0" collapsed="false">
      <c r="A76" s="17" t="s">
        <v>164</v>
      </c>
      <c r="B76" s="18"/>
      <c r="C76" s="19" t="s">
        <v>165</v>
      </c>
      <c r="D76" s="19" t="s">
        <v>101</v>
      </c>
      <c r="E76" s="20" t="n">
        <f aca="false">IF(OR(CL76="",CM76=""),"",CM76-CL76+1)</f>
        <v>8</v>
      </c>
      <c r="F76" s="21" t="s">
        <v>62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J76" s="1" t="s">
        <v>38</v>
      </c>
      <c r="CL76" s="5" t="n">
        <f aca="false">IFERROR(IF(TRIM(C76)="","",IF(ISNUMBER(C76),C76,DATE(2026,MATCH(LEFT(MID(TRIM(C76),FIND(" ",TRIM(C76))+1,9),3),Lists!$A$1:$A$12,0),VALUE(LEFT(TRIM(C76),FIND(" ",TRIM(C76))-1))))),"")</f>
        <v>46329</v>
      </c>
      <c r="CM76" s="5" t="n">
        <f aca="false">IFERROR(IF(TRIM(D76)="","",IF(ISNUMBER(D76),D76,DATE(2026,MATCH(LEFT(MID(TRIM(D76),FIND(" ",TRIM(D76))+1,9),3),Lists!$A$1:$A$12,0),VALUE(LEFT(TRIM(D76),FIND(" ",TRIM(D76))-1))))),"")</f>
        <v>46336</v>
      </c>
    </row>
    <row r="77" customFormat="false" ht="15" hidden="false" customHeight="true" outlineLevel="0" collapsed="false">
      <c r="A77" s="14" t="s">
        <v>166</v>
      </c>
      <c r="B77" s="15" t="s">
        <v>147</v>
      </c>
      <c r="C77" s="15" t="str">
        <f aca="false">DAY(CL77)&amp;" "&amp;INDEX(Lists!$A$1:$A$12,MONTH(CL77))</f>
        <v>2 Nov</v>
      </c>
      <c r="D77" s="15" t="str">
        <f aca="false">DAY(CM77)&amp;" "&amp;INDEX(Lists!$A$1:$A$12,MONTH(CM77))</f>
        <v>13 Nov</v>
      </c>
      <c r="E77" s="15" t="n">
        <f aca="false">CM77-CL77+1</f>
        <v>12</v>
      </c>
      <c r="F77" s="15" t="str">
        <f aca="false">IF(COUNTIF(F78:F80,"Done")=3,"Done",IF(COUNTIF(F78:F80,"Not started")=3,"Not started","In progress"))</f>
        <v>Not started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J77" s="1" t="s">
        <v>33</v>
      </c>
      <c r="CL77" s="5" t="n">
        <f aca="false">MIN(CL78:CL80)</f>
        <v>46328</v>
      </c>
      <c r="CM77" s="5" t="n">
        <f aca="false">MAX(CM78:CM80)</f>
        <v>46339</v>
      </c>
    </row>
    <row r="78" customFormat="false" ht="14.25" hidden="false" customHeight="true" outlineLevel="0" collapsed="false">
      <c r="A78" s="17" t="s">
        <v>167</v>
      </c>
      <c r="B78" s="18"/>
      <c r="C78" s="19" t="s">
        <v>60</v>
      </c>
      <c r="D78" s="19" t="s">
        <v>95</v>
      </c>
      <c r="E78" s="20" t="n">
        <f aca="false">IF(OR(CL78="",CM78=""),"",CM78-CL78+1)</f>
        <v>8</v>
      </c>
      <c r="F78" s="21" t="s">
        <v>62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J78" s="1" t="s">
        <v>38</v>
      </c>
      <c r="CL78" s="5" t="n">
        <f aca="false">IFERROR(IF(TRIM(C78)="","",IF(ISNUMBER(C78),C78,DATE(2026,MATCH(LEFT(MID(TRIM(C78),FIND(" ",TRIM(C78))+1,9),3),Lists!$A$1:$A$12,0),VALUE(LEFT(TRIM(C78),FIND(" ",TRIM(C78))-1))))),"")</f>
        <v>46328</v>
      </c>
      <c r="CM78" s="5" t="n">
        <f aca="false">IFERROR(IF(TRIM(D78)="","",IF(ISNUMBER(D78),D78,DATE(2026,MATCH(LEFT(MID(TRIM(D78),FIND(" ",TRIM(D78))+1,9),3),Lists!$A$1:$A$12,0),VALUE(LEFT(TRIM(D78),FIND(" ",TRIM(D78))-1))))),"")</f>
        <v>46335</v>
      </c>
    </row>
    <row r="79" customFormat="false" ht="14.25" hidden="false" customHeight="true" outlineLevel="0" collapsed="false">
      <c r="A79" s="17" t="s">
        <v>168</v>
      </c>
      <c r="B79" s="18"/>
      <c r="C79" s="19" t="s">
        <v>169</v>
      </c>
      <c r="D79" s="19" t="s">
        <v>122</v>
      </c>
      <c r="E79" s="20" t="n">
        <f aca="false">IF(OR(CL79="",CM79=""),"",CM79-CL79+1)</f>
        <v>9</v>
      </c>
      <c r="F79" s="21" t="s">
        <v>62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J79" s="1" t="s">
        <v>38</v>
      </c>
      <c r="CL79" s="5" t="n">
        <f aca="false">IFERROR(IF(TRIM(C79)="","",IF(ISNUMBER(C79),C79,DATE(2026,MATCH(LEFT(MID(TRIM(C79),FIND(" ",TRIM(C79))+1,9),3),Lists!$A$1:$A$12,0),VALUE(LEFT(TRIM(C79),FIND(" ",TRIM(C79))-1))))),"")</f>
        <v>46331</v>
      </c>
      <c r="CM79" s="5" t="n">
        <f aca="false">IFERROR(IF(TRIM(D79)="","",IF(ISNUMBER(D79),D79,DATE(2026,MATCH(LEFT(MID(TRIM(D79),FIND(" ",TRIM(D79))+1,9),3),Lists!$A$1:$A$12,0),VALUE(LEFT(TRIM(D79),FIND(" ",TRIM(D79))-1))))),"")</f>
        <v>46339</v>
      </c>
    </row>
    <row r="80" customFormat="false" ht="14.25" hidden="false" customHeight="true" outlineLevel="0" collapsed="false">
      <c r="A80" s="17" t="s">
        <v>170</v>
      </c>
      <c r="B80" s="18"/>
      <c r="C80" s="19" t="s">
        <v>60</v>
      </c>
      <c r="D80" s="19" t="s">
        <v>122</v>
      </c>
      <c r="E80" s="20" t="n">
        <f aca="false">IF(OR(CL80="",CM80=""),"",CM80-CL80+1)</f>
        <v>12</v>
      </c>
      <c r="F80" s="21" t="s">
        <v>62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J80" s="1" t="s">
        <v>38</v>
      </c>
      <c r="CL80" s="5" t="n">
        <f aca="false">IFERROR(IF(TRIM(C80)="","",IF(ISNUMBER(C80),C80,DATE(2026,MATCH(LEFT(MID(TRIM(C80),FIND(" ",TRIM(C80))+1,9),3),Lists!$A$1:$A$12,0),VALUE(LEFT(TRIM(C80),FIND(" ",TRIM(C80))-1))))),"")</f>
        <v>46328</v>
      </c>
      <c r="CM80" s="5" t="n">
        <f aca="false">IFERROR(IF(TRIM(D80)="","",IF(ISNUMBER(D80),D80,DATE(2026,MATCH(LEFT(MID(TRIM(D80),FIND(" ",TRIM(D80))+1,9),3),Lists!$A$1:$A$12,0),VALUE(LEFT(TRIM(D80),FIND(" ",TRIM(D80))-1))))),"")</f>
        <v>46339</v>
      </c>
    </row>
    <row r="81" customFormat="false" ht="15" hidden="false" customHeight="true" outlineLevel="0" collapsed="false">
      <c r="A81" s="14" t="s">
        <v>171</v>
      </c>
      <c r="B81" s="15" t="s">
        <v>147</v>
      </c>
      <c r="C81" s="15" t="str">
        <f aca="false">DAY(CL81)&amp;" "&amp;INDEX(Lists!$A$1:$A$12,MONTH(CL81))</f>
        <v>10 Nov</v>
      </c>
      <c r="D81" s="15" t="str">
        <f aca="false">DAY(CM81)&amp;" "&amp;INDEX(Lists!$A$1:$A$12,MONTH(CM81))</f>
        <v>14 Nov</v>
      </c>
      <c r="E81" s="15" t="n">
        <f aca="false">CM81-CL81+1</f>
        <v>5</v>
      </c>
      <c r="F81" s="15" t="str">
        <f aca="false">IF(COUNTIF(F82:F82,"Done")=1,"Done",IF(COUNTIF(F82:F82,"Not started")=1,"Not started","In progress"))</f>
        <v>Not started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J81" s="1" t="s">
        <v>33</v>
      </c>
      <c r="CL81" s="5" t="n">
        <f aca="false">MIN(CL82:CL82)</f>
        <v>46336</v>
      </c>
      <c r="CM81" s="5" t="n">
        <f aca="false">MAX(CM82:CM82)</f>
        <v>46340</v>
      </c>
    </row>
    <row r="82" customFormat="false" ht="14.25" hidden="false" customHeight="true" outlineLevel="0" collapsed="false">
      <c r="A82" s="17" t="s">
        <v>172</v>
      </c>
      <c r="B82" s="18"/>
      <c r="C82" s="19" t="s">
        <v>101</v>
      </c>
      <c r="D82" s="19" t="s">
        <v>131</v>
      </c>
      <c r="E82" s="20" t="n">
        <f aca="false">IF(OR(CL82="",CM82=""),"",CM82-CL82+1)</f>
        <v>5</v>
      </c>
      <c r="F82" s="21" t="s">
        <v>62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J82" s="1" t="s">
        <v>38</v>
      </c>
      <c r="CK82" s="1" t="s">
        <v>173</v>
      </c>
      <c r="CL82" s="5" t="n">
        <f aca="false">IFERROR(IF(TRIM(C82)="","",IF(ISNUMBER(C82),C82,DATE(2026,MATCH(LEFT(MID(TRIM(C82),FIND(" ",TRIM(C82))+1,9),3),Lists!$A$1:$A$12,0),VALUE(LEFT(TRIM(C82),FIND(" ",TRIM(C82))-1))))),"")</f>
        <v>46336</v>
      </c>
      <c r="CM82" s="5" t="n">
        <f aca="false">IFERROR(IF(TRIM(D82)="","",IF(ISNUMBER(D82),D82,DATE(2026,MATCH(LEFT(MID(TRIM(D82),FIND(" ",TRIM(D82))+1,9),3),Lists!$A$1:$A$12,0),VALUE(LEFT(TRIM(D82),FIND(" ",TRIM(D82))-1))))),"")</f>
        <v>46340</v>
      </c>
    </row>
    <row r="83" customFormat="false" ht="15" hidden="false" customHeight="true" outlineLevel="0" collapsed="false">
      <c r="A83" s="23" t="s">
        <v>174</v>
      </c>
      <c r="B83" s="24"/>
      <c r="C83" s="24"/>
      <c r="D83" s="24"/>
      <c r="E83" s="24"/>
      <c r="F83" s="24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J83" s="1" t="s">
        <v>175</v>
      </c>
      <c r="CL83" s="5"/>
      <c r="CM83" s="5"/>
    </row>
    <row r="84" customFormat="false" ht="14.25" hidden="false" customHeight="true" outlineLevel="0" collapsed="false">
      <c r="A84" s="25" t="s">
        <v>176</v>
      </c>
      <c r="B84" s="18"/>
      <c r="C84" s="19" t="s">
        <v>177</v>
      </c>
      <c r="D84" s="20" t="str">
        <f aca="false">IF(CL84="","",DAY(CL84)&amp;" "&amp;INDEX(Lists!$A$1:$A$12,MONTH(CL84)))</f>
        <v>23 Sep</v>
      </c>
      <c r="E84" s="20" t="n">
        <v>0</v>
      </c>
      <c r="F84" s="21" t="s">
        <v>37</v>
      </c>
      <c r="G84" s="26" t="str">
        <f aca="false">IF(G$5=$CL84,"◆","")</f>
        <v/>
      </c>
      <c r="H84" s="26" t="str">
        <f aca="false">IF(H$5=$CL84,"◆","")</f>
        <v/>
      </c>
      <c r="I84" s="26" t="str">
        <f aca="false">IF(I$5=$CL84,"◆","")</f>
        <v/>
      </c>
      <c r="J84" s="26" t="str">
        <f aca="false">IF(J$5=$CL84,"◆","")</f>
        <v/>
      </c>
      <c r="K84" s="26" t="str">
        <f aca="false">IF(K$5=$CL84,"◆","")</f>
        <v/>
      </c>
      <c r="L84" s="26" t="str">
        <f aca="false">IF(L$5=$CL84,"◆","")</f>
        <v/>
      </c>
      <c r="M84" s="26" t="str">
        <f aca="false">IF(M$5=$CL84,"◆","")</f>
        <v/>
      </c>
      <c r="N84" s="26" t="str">
        <f aca="false">IF(N$5=$CL84,"◆","")</f>
        <v/>
      </c>
      <c r="O84" s="26" t="str">
        <f aca="false">IF(O$5=$CL84,"◆","")</f>
        <v/>
      </c>
      <c r="P84" s="26" t="str">
        <f aca="false">IF(P$5=$CL84,"◆","")</f>
        <v>◆</v>
      </c>
      <c r="Q84" s="26" t="str">
        <f aca="false">IF(Q$5=$CL84,"◆","")</f>
        <v/>
      </c>
      <c r="R84" s="26" t="str">
        <f aca="false">IF(R$5=$CL84,"◆","")</f>
        <v/>
      </c>
      <c r="S84" s="26" t="str">
        <f aca="false">IF(S$5=$CL84,"◆","")</f>
        <v/>
      </c>
      <c r="T84" s="26" t="str">
        <f aca="false">IF(T$5=$CL84,"◆","")</f>
        <v/>
      </c>
      <c r="U84" s="26" t="str">
        <f aca="false">IF(U$5=$CL84,"◆","")</f>
        <v/>
      </c>
      <c r="V84" s="26" t="str">
        <f aca="false">IF(V$5=$CL84,"◆","")</f>
        <v/>
      </c>
      <c r="W84" s="26" t="str">
        <f aca="false">IF(W$5=$CL84,"◆","")</f>
        <v/>
      </c>
      <c r="X84" s="26" t="str">
        <f aca="false">IF(X$5=$CL84,"◆","")</f>
        <v/>
      </c>
      <c r="Y84" s="26" t="str">
        <f aca="false">IF(Y$5=$CL84,"◆","")</f>
        <v/>
      </c>
      <c r="Z84" s="26" t="str">
        <f aca="false">IF(Z$5=$CL84,"◆","")</f>
        <v/>
      </c>
      <c r="AA84" s="26" t="str">
        <f aca="false">IF(AA$5=$CL84,"◆","")</f>
        <v/>
      </c>
      <c r="AB84" s="26" t="str">
        <f aca="false">IF(AB$5=$CL84,"◆","")</f>
        <v/>
      </c>
      <c r="AC84" s="26" t="str">
        <f aca="false">IF(AC$5=$CL84,"◆","")</f>
        <v/>
      </c>
      <c r="AD84" s="26" t="str">
        <f aca="false">IF(AD$5=$CL84,"◆","")</f>
        <v/>
      </c>
      <c r="AE84" s="26" t="str">
        <f aca="false">IF(AE$5=$CL84,"◆","")</f>
        <v/>
      </c>
      <c r="AF84" s="26" t="str">
        <f aca="false">IF(AF$5=$CL84,"◆","")</f>
        <v/>
      </c>
      <c r="AG84" s="26" t="str">
        <f aca="false">IF(AG$5=$CL84,"◆","")</f>
        <v/>
      </c>
      <c r="AH84" s="26" t="str">
        <f aca="false">IF(AH$5=$CL84,"◆","")</f>
        <v/>
      </c>
      <c r="AI84" s="26" t="str">
        <f aca="false">IF(AI$5=$CL84,"◆","")</f>
        <v/>
      </c>
      <c r="AJ84" s="26" t="str">
        <f aca="false">IF(AJ$5=$CL84,"◆","")</f>
        <v/>
      </c>
      <c r="AK84" s="26" t="str">
        <f aca="false">IF(AK$5=$CL84,"◆","")</f>
        <v/>
      </c>
      <c r="AL84" s="26" t="str">
        <f aca="false">IF(AL$5=$CL84,"◆","")</f>
        <v/>
      </c>
      <c r="AM84" s="26" t="str">
        <f aca="false">IF(AM$5=$CL84,"◆","")</f>
        <v/>
      </c>
      <c r="AN84" s="26" t="str">
        <f aca="false">IF(AN$5=$CL84,"◆","")</f>
        <v/>
      </c>
      <c r="AO84" s="26" t="str">
        <f aca="false">IF(AO$5=$CL84,"◆","")</f>
        <v/>
      </c>
      <c r="AP84" s="26" t="str">
        <f aca="false">IF(AP$5=$CL84,"◆","")</f>
        <v/>
      </c>
      <c r="AQ84" s="26" t="str">
        <f aca="false">IF(AQ$5=$CL84,"◆","")</f>
        <v/>
      </c>
      <c r="AR84" s="26" t="str">
        <f aca="false">IF(AR$5=$CL84,"◆","")</f>
        <v/>
      </c>
      <c r="AS84" s="26" t="str">
        <f aca="false">IF(AS$5=$CL84,"◆","")</f>
        <v/>
      </c>
      <c r="AT84" s="26" t="str">
        <f aca="false">IF(AT$5=$CL84,"◆","")</f>
        <v/>
      </c>
      <c r="AU84" s="26" t="str">
        <f aca="false">IF(AU$5=$CL84,"◆","")</f>
        <v/>
      </c>
      <c r="AV84" s="26" t="str">
        <f aca="false">IF(AV$5=$CL84,"◆","")</f>
        <v/>
      </c>
      <c r="AW84" s="26" t="str">
        <f aca="false">IF(AW$5=$CL84,"◆","")</f>
        <v/>
      </c>
      <c r="AX84" s="26" t="str">
        <f aca="false">IF(AX$5=$CL84,"◆","")</f>
        <v/>
      </c>
      <c r="AY84" s="26" t="str">
        <f aca="false">IF(AY$5=$CL84,"◆","")</f>
        <v/>
      </c>
      <c r="AZ84" s="26" t="str">
        <f aca="false">IF(AZ$5=$CL84,"◆","")</f>
        <v/>
      </c>
      <c r="BA84" s="26" t="str">
        <f aca="false">IF(BA$5=$CL84,"◆","")</f>
        <v/>
      </c>
      <c r="BB84" s="26" t="str">
        <f aca="false">IF(BB$5=$CL84,"◆","")</f>
        <v/>
      </c>
      <c r="BC84" s="26" t="str">
        <f aca="false">IF(BC$5=$CL84,"◆","")</f>
        <v/>
      </c>
      <c r="BD84" s="26" t="str">
        <f aca="false">IF(BD$5=$CL84,"◆","")</f>
        <v/>
      </c>
      <c r="BE84" s="26" t="str">
        <f aca="false">IF(BE$5=$CL84,"◆","")</f>
        <v/>
      </c>
      <c r="BF84" s="26" t="str">
        <f aca="false">IF(BF$5=$CL84,"◆","")</f>
        <v/>
      </c>
      <c r="BG84" s="26" t="str">
        <f aca="false">IF(BG$5=$CL84,"◆","")</f>
        <v/>
      </c>
      <c r="BH84" s="26" t="str">
        <f aca="false">IF(BH$5=$CL84,"◆","")</f>
        <v/>
      </c>
      <c r="BI84" s="26" t="str">
        <f aca="false">IF(BI$5=$CL84,"◆","")</f>
        <v/>
      </c>
      <c r="BJ84" s="26" t="str">
        <f aca="false">IF(BJ$5=$CL84,"◆","")</f>
        <v/>
      </c>
      <c r="BK84" s="26" t="str">
        <f aca="false">IF(BK$5=$CL84,"◆","")</f>
        <v/>
      </c>
      <c r="BL84" s="26" t="str">
        <f aca="false">IF(BL$5=$CL84,"◆","")</f>
        <v/>
      </c>
      <c r="BM84" s="26" t="str">
        <f aca="false">IF(BM$5=$CL84,"◆","")</f>
        <v/>
      </c>
      <c r="BN84" s="26" t="str">
        <f aca="false">IF(BN$5=$CL84,"◆","")</f>
        <v/>
      </c>
      <c r="BO84" s="26" t="str">
        <f aca="false">IF(BO$5=$CL84,"◆","")</f>
        <v/>
      </c>
      <c r="BP84" s="26" t="str">
        <f aca="false">IF(BP$5=$CL84,"◆","")</f>
        <v/>
      </c>
      <c r="BQ84" s="26" t="str">
        <f aca="false">IF(BQ$5=$CL84,"◆","")</f>
        <v/>
      </c>
      <c r="BR84" s="26" t="str">
        <f aca="false">IF(BR$5=$CL84,"◆","")</f>
        <v/>
      </c>
      <c r="BS84" s="26" t="str">
        <f aca="false">IF(BS$5=$CL84,"◆","")</f>
        <v/>
      </c>
      <c r="BT84" s="26" t="str">
        <f aca="false">IF(BT$5=$CL84,"◆","")</f>
        <v/>
      </c>
      <c r="BU84" s="26" t="str">
        <f aca="false">IF(BU$5=$CL84,"◆","")</f>
        <v/>
      </c>
      <c r="BV84" s="26" t="str">
        <f aca="false">IF(BV$5=$CL84,"◆","")</f>
        <v/>
      </c>
      <c r="BW84" s="26" t="str">
        <f aca="false">IF(BW$5=$CL84,"◆","")</f>
        <v/>
      </c>
      <c r="BX84" s="26" t="str">
        <f aca="false">IF(BX$5=$CL84,"◆","")</f>
        <v/>
      </c>
      <c r="BY84" s="26" t="str">
        <f aca="false">IF(BY$5=$CL84,"◆","")</f>
        <v/>
      </c>
      <c r="BZ84" s="26" t="str">
        <f aca="false">IF(BZ$5=$CL84,"◆","")</f>
        <v/>
      </c>
      <c r="CA84" s="26" t="str">
        <f aca="false">IF(CA$5=$CL84,"◆","")</f>
        <v/>
      </c>
      <c r="CB84" s="26" t="str">
        <f aca="false">IF(CB$5=$CL84,"◆","")</f>
        <v/>
      </c>
      <c r="CC84" s="26" t="str">
        <f aca="false">IF(CC$5=$CL84,"◆","")</f>
        <v/>
      </c>
      <c r="CD84" s="26" t="str">
        <f aca="false">IF(CD$5=$CL84,"◆","")</f>
        <v/>
      </c>
      <c r="CE84" s="26" t="str">
        <f aca="false">IF(CE$5=$CL84,"◆","")</f>
        <v/>
      </c>
      <c r="CF84" s="26" t="str">
        <f aca="false">IF(CF$5=$CL84,"◆","")</f>
        <v/>
      </c>
      <c r="CG84" s="26" t="str">
        <f aca="false">IF(CG$5=$CL84,"◆","")</f>
        <v/>
      </c>
      <c r="CH84" s="26" t="str">
        <f aca="false">IF(CH$5=$CL84,"◆","")</f>
        <v/>
      </c>
      <c r="CJ84" s="1" t="s">
        <v>178</v>
      </c>
      <c r="CL84" s="5" t="n">
        <f aca="false">IFERROR(IF(TRIM(C84)="","",IF(ISNUMBER(C84),C84,DATE(2026,MATCH(LEFT(MID(TRIM(C84),FIND(" ",TRIM(C84))+1,9),3),Lists!$A$1:$A$12,0),VALUE(LEFT(TRIM(C84),FIND(" ",TRIM(C84))-1))))),"")</f>
        <v>46288</v>
      </c>
      <c r="CM84" s="5" t="n">
        <f aca="false">CL84</f>
        <v>46288</v>
      </c>
    </row>
    <row r="85" customFormat="false" ht="14.25" hidden="false" customHeight="true" outlineLevel="0" collapsed="false">
      <c r="A85" s="25" t="s">
        <v>179</v>
      </c>
      <c r="B85" s="18"/>
      <c r="C85" s="19" t="s">
        <v>58</v>
      </c>
      <c r="D85" s="20" t="str">
        <f aca="false">IF(CL85="","",DAY(CL85)&amp;" "&amp;INDEX(Lists!$A$1:$A$12,MONTH(CL85)))</f>
        <v>7 Oct</v>
      </c>
      <c r="E85" s="20" t="n">
        <v>0</v>
      </c>
      <c r="F85" s="21" t="s">
        <v>37</v>
      </c>
      <c r="G85" s="26" t="str">
        <f aca="false">IF(G$5=$CL85,"◆","")</f>
        <v/>
      </c>
      <c r="H85" s="26" t="str">
        <f aca="false">IF(H$5=$CL85,"◆","")</f>
        <v/>
      </c>
      <c r="I85" s="26" t="str">
        <f aca="false">IF(I$5=$CL85,"◆","")</f>
        <v/>
      </c>
      <c r="J85" s="26" t="str">
        <f aca="false">IF(J$5=$CL85,"◆","")</f>
        <v/>
      </c>
      <c r="K85" s="26" t="str">
        <f aca="false">IF(K$5=$CL85,"◆","")</f>
        <v/>
      </c>
      <c r="L85" s="26" t="str">
        <f aca="false">IF(L$5=$CL85,"◆","")</f>
        <v/>
      </c>
      <c r="M85" s="26" t="str">
        <f aca="false">IF(M$5=$CL85,"◆","")</f>
        <v/>
      </c>
      <c r="N85" s="26" t="str">
        <f aca="false">IF(N$5=$CL85,"◆","")</f>
        <v/>
      </c>
      <c r="O85" s="26" t="str">
        <f aca="false">IF(O$5=$CL85,"◆","")</f>
        <v/>
      </c>
      <c r="P85" s="26" t="str">
        <f aca="false">IF(P$5=$CL85,"◆","")</f>
        <v/>
      </c>
      <c r="Q85" s="26" t="str">
        <f aca="false">IF(Q$5=$CL85,"◆","")</f>
        <v/>
      </c>
      <c r="R85" s="26" t="str">
        <f aca="false">IF(R$5=$CL85,"◆","")</f>
        <v/>
      </c>
      <c r="S85" s="26" t="str">
        <f aca="false">IF(S$5=$CL85,"◆","")</f>
        <v/>
      </c>
      <c r="T85" s="26" t="str">
        <f aca="false">IF(T$5=$CL85,"◆","")</f>
        <v/>
      </c>
      <c r="U85" s="26" t="str">
        <f aca="false">IF(U$5=$CL85,"◆","")</f>
        <v/>
      </c>
      <c r="V85" s="26" t="str">
        <f aca="false">IF(V$5=$CL85,"◆","")</f>
        <v/>
      </c>
      <c r="W85" s="26" t="str">
        <f aca="false">IF(W$5=$CL85,"◆","")</f>
        <v/>
      </c>
      <c r="X85" s="26" t="str">
        <f aca="false">IF(X$5=$CL85,"◆","")</f>
        <v/>
      </c>
      <c r="Y85" s="26" t="str">
        <f aca="false">IF(Y$5=$CL85,"◆","")</f>
        <v/>
      </c>
      <c r="Z85" s="26" t="str">
        <f aca="false">IF(Z$5=$CL85,"◆","")</f>
        <v/>
      </c>
      <c r="AA85" s="26" t="str">
        <f aca="false">IF(AA$5=$CL85,"◆","")</f>
        <v/>
      </c>
      <c r="AB85" s="26" t="str">
        <f aca="false">IF(AB$5=$CL85,"◆","")</f>
        <v/>
      </c>
      <c r="AC85" s="26" t="str">
        <f aca="false">IF(AC$5=$CL85,"◆","")</f>
        <v/>
      </c>
      <c r="AD85" s="26" t="str">
        <f aca="false">IF(AD$5=$CL85,"◆","")</f>
        <v>◆</v>
      </c>
      <c r="AE85" s="26" t="str">
        <f aca="false">IF(AE$5=$CL85,"◆","")</f>
        <v/>
      </c>
      <c r="AF85" s="26" t="str">
        <f aca="false">IF(AF$5=$CL85,"◆","")</f>
        <v/>
      </c>
      <c r="AG85" s="26" t="str">
        <f aca="false">IF(AG$5=$CL85,"◆","")</f>
        <v/>
      </c>
      <c r="AH85" s="26" t="str">
        <f aca="false">IF(AH$5=$CL85,"◆","")</f>
        <v/>
      </c>
      <c r="AI85" s="26" t="str">
        <f aca="false">IF(AI$5=$CL85,"◆","")</f>
        <v/>
      </c>
      <c r="AJ85" s="26" t="str">
        <f aca="false">IF(AJ$5=$CL85,"◆","")</f>
        <v/>
      </c>
      <c r="AK85" s="26" t="str">
        <f aca="false">IF(AK$5=$CL85,"◆","")</f>
        <v/>
      </c>
      <c r="AL85" s="26" t="str">
        <f aca="false">IF(AL$5=$CL85,"◆","")</f>
        <v/>
      </c>
      <c r="AM85" s="26" t="str">
        <f aca="false">IF(AM$5=$CL85,"◆","")</f>
        <v/>
      </c>
      <c r="AN85" s="26" t="str">
        <f aca="false">IF(AN$5=$CL85,"◆","")</f>
        <v/>
      </c>
      <c r="AO85" s="26" t="str">
        <f aca="false">IF(AO$5=$CL85,"◆","")</f>
        <v/>
      </c>
      <c r="AP85" s="26" t="str">
        <f aca="false">IF(AP$5=$CL85,"◆","")</f>
        <v/>
      </c>
      <c r="AQ85" s="26" t="str">
        <f aca="false">IF(AQ$5=$CL85,"◆","")</f>
        <v/>
      </c>
      <c r="AR85" s="26" t="str">
        <f aca="false">IF(AR$5=$CL85,"◆","")</f>
        <v/>
      </c>
      <c r="AS85" s="26" t="str">
        <f aca="false">IF(AS$5=$CL85,"◆","")</f>
        <v/>
      </c>
      <c r="AT85" s="26" t="str">
        <f aca="false">IF(AT$5=$CL85,"◆","")</f>
        <v/>
      </c>
      <c r="AU85" s="26" t="str">
        <f aca="false">IF(AU$5=$CL85,"◆","")</f>
        <v/>
      </c>
      <c r="AV85" s="26" t="str">
        <f aca="false">IF(AV$5=$CL85,"◆","")</f>
        <v/>
      </c>
      <c r="AW85" s="26" t="str">
        <f aca="false">IF(AW$5=$CL85,"◆","")</f>
        <v/>
      </c>
      <c r="AX85" s="26" t="str">
        <f aca="false">IF(AX$5=$CL85,"◆","")</f>
        <v/>
      </c>
      <c r="AY85" s="26" t="str">
        <f aca="false">IF(AY$5=$CL85,"◆","")</f>
        <v/>
      </c>
      <c r="AZ85" s="26" t="str">
        <f aca="false">IF(AZ$5=$CL85,"◆","")</f>
        <v/>
      </c>
      <c r="BA85" s="26" t="str">
        <f aca="false">IF(BA$5=$CL85,"◆","")</f>
        <v/>
      </c>
      <c r="BB85" s="26" t="str">
        <f aca="false">IF(BB$5=$CL85,"◆","")</f>
        <v/>
      </c>
      <c r="BC85" s="26" t="str">
        <f aca="false">IF(BC$5=$CL85,"◆","")</f>
        <v/>
      </c>
      <c r="BD85" s="26" t="str">
        <f aca="false">IF(BD$5=$CL85,"◆","")</f>
        <v/>
      </c>
      <c r="BE85" s="26" t="str">
        <f aca="false">IF(BE$5=$CL85,"◆","")</f>
        <v/>
      </c>
      <c r="BF85" s="26" t="str">
        <f aca="false">IF(BF$5=$CL85,"◆","")</f>
        <v/>
      </c>
      <c r="BG85" s="26" t="str">
        <f aca="false">IF(BG$5=$CL85,"◆","")</f>
        <v/>
      </c>
      <c r="BH85" s="26" t="str">
        <f aca="false">IF(BH$5=$CL85,"◆","")</f>
        <v/>
      </c>
      <c r="BI85" s="26" t="str">
        <f aca="false">IF(BI$5=$CL85,"◆","")</f>
        <v/>
      </c>
      <c r="BJ85" s="26" t="str">
        <f aca="false">IF(BJ$5=$CL85,"◆","")</f>
        <v/>
      </c>
      <c r="BK85" s="26" t="str">
        <f aca="false">IF(BK$5=$CL85,"◆","")</f>
        <v/>
      </c>
      <c r="BL85" s="26" t="str">
        <f aca="false">IF(BL$5=$CL85,"◆","")</f>
        <v/>
      </c>
      <c r="BM85" s="26" t="str">
        <f aca="false">IF(BM$5=$CL85,"◆","")</f>
        <v/>
      </c>
      <c r="BN85" s="26" t="str">
        <f aca="false">IF(BN$5=$CL85,"◆","")</f>
        <v/>
      </c>
      <c r="BO85" s="26" t="str">
        <f aca="false">IF(BO$5=$CL85,"◆","")</f>
        <v/>
      </c>
      <c r="BP85" s="26" t="str">
        <f aca="false">IF(BP$5=$CL85,"◆","")</f>
        <v/>
      </c>
      <c r="BQ85" s="26" t="str">
        <f aca="false">IF(BQ$5=$CL85,"◆","")</f>
        <v/>
      </c>
      <c r="BR85" s="26" t="str">
        <f aca="false">IF(BR$5=$CL85,"◆","")</f>
        <v/>
      </c>
      <c r="BS85" s="26" t="str">
        <f aca="false">IF(BS$5=$CL85,"◆","")</f>
        <v/>
      </c>
      <c r="BT85" s="26" t="str">
        <f aca="false">IF(BT$5=$CL85,"◆","")</f>
        <v/>
      </c>
      <c r="BU85" s="26" t="str">
        <f aca="false">IF(BU$5=$CL85,"◆","")</f>
        <v/>
      </c>
      <c r="BV85" s="26" t="str">
        <f aca="false">IF(BV$5=$CL85,"◆","")</f>
        <v/>
      </c>
      <c r="BW85" s="26" t="str">
        <f aca="false">IF(BW$5=$CL85,"◆","")</f>
        <v/>
      </c>
      <c r="BX85" s="26" t="str">
        <f aca="false">IF(BX$5=$CL85,"◆","")</f>
        <v/>
      </c>
      <c r="BY85" s="26" t="str">
        <f aca="false">IF(BY$5=$CL85,"◆","")</f>
        <v/>
      </c>
      <c r="BZ85" s="26" t="str">
        <f aca="false">IF(BZ$5=$CL85,"◆","")</f>
        <v/>
      </c>
      <c r="CA85" s="26" t="str">
        <f aca="false">IF(CA$5=$CL85,"◆","")</f>
        <v/>
      </c>
      <c r="CB85" s="26" t="str">
        <f aca="false">IF(CB$5=$CL85,"◆","")</f>
        <v/>
      </c>
      <c r="CC85" s="26" t="str">
        <f aca="false">IF(CC$5=$CL85,"◆","")</f>
        <v/>
      </c>
      <c r="CD85" s="26" t="str">
        <f aca="false">IF(CD$5=$CL85,"◆","")</f>
        <v/>
      </c>
      <c r="CE85" s="26" t="str">
        <f aca="false">IF(CE$5=$CL85,"◆","")</f>
        <v/>
      </c>
      <c r="CF85" s="26" t="str">
        <f aca="false">IF(CF$5=$CL85,"◆","")</f>
        <v/>
      </c>
      <c r="CG85" s="26" t="str">
        <f aca="false">IF(CG$5=$CL85,"◆","")</f>
        <v/>
      </c>
      <c r="CH85" s="26" t="str">
        <f aca="false">IF(CH$5=$CL85,"◆","")</f>
        <v/>
      </c>
      <c r="CJ85" s="1" t="s">
        <v>178</v>
      </c>
      <c r="CL85" s="5" t="n">
        <f aca="false">IFERROR(IF(TRIM(C85)="","",IF(ISNUMBER(C85),C85,DATE(2026,MATCH(LEFT(MID(TRIM(C85),FIND(" ",TRIM(C85))+1,9),3),Lists!$A$1:$A$12,0),VALUE(LEFT(TRIM(C85),FIND(" ",TRIM(C85))-1))))),"")</f>
        <v>46302</v>
      </c>
      <c r="CM85" s="5" t="n">
        <f aca="false">CL85</f>
        <v>46302</v>
      </c>
    </row>
    <row r="86" customFormat="false" ht="14.25" hidden="false" customHeight="true" outlineLevel="0" collapsed="false">
      <c r="A86" s="25" t="s">
        <v>180</v>
      </c>
      <c r="B86" s="18"/>
      <c r="C86" s="19" t="s">
        <v>82</v>
      </c>
      <c r="D86" s="20" t="str">
        <f aca="false">IF(CL86="","",DAY(CL86)&amp;" "&amp;INDEX(Lists!$A$1:$A$12,MONTH(CL86)))</f>
        <v>22 Oct</v>
      </c>
      <c r="E86" s="20" t="n">
        <v>0</v>
      </c>
      <c r="F86" s="21" t="s">
        <v>37</v>
      </c>
      <c r="G86" s="26" t="str">
        <f aca="false">IF(G$5=$CL86,"◆","")</f>
        <v/>
      </c>
      <c r="H86" s="26" t="str">
        <f aca="false">IF(H$5=$CL86,"◆","")</f>
        <v/>
      </c>
      <c r="I86" s="26" t="str">
        <f aca="false">IF(I$5=$CL86,"◆","")</f>
        <v/>
      </c>
      <c r="J86" s="26" t="str">
        <f aca="false">IF(J$5=$CL86,"◆","")</f>
        <v/>
      </c>
      <c r="K86" s="26" t="str">
        <f aca="false">IF(K$5=$CL86,"◆","")</f>
        <v/>
      </c>
      <c r="L86" s="26" t="str">
        <f aca="false">IF(L$5=$CL86,"◆","")</f>
        <v/>
      </c>
      <c r="M86" s="26" t="str">
        <f aca="false">IF(M$5=$CL86,"◆","")</f>
        <v/>
      </c>
      <c r="N86" s="26" t="str">
        <f aca="false">IF(N$5=$CL86,"◆","")</f>
        <v/>
      </c>
      <c r="O86" s="26" t="str">
        <f aca="false">IF(O$5=$CL86,"◆","")</f>
        <v/>
      </c>
      <c r="P86" s="26" t="str">
        <f aca="false">IF(P$5=$CL86,"◆","")</f>
        <v/>
      </c>
      <c r="Q86" s="26" t="str">
        <f aca="false">IF(Q$5=$CL86,"◆","")</f>
        <v/>
      </c>
      <c r="R86" s="26" t="str">
        <f aca="false">IF(R$5=$CL86,"◆","")</f>
        <v/>
      </c>
      <c r="S86" s="26" t="str">
        <f aca="false">IF(S$5=$CL86,"◆","")</f>
        <v/>
      </c>
      <c r="T86" s="26" t="str">
        <f aca="false">IF(T$5=$CL86,"◆","")</f>
        <v/>
      </c>
      <c r="U86" s="26" t="str">
        <f aca="false">IF(U$5=$CL86,"◆","")</f>
        <v/>
      </c>
      <c r="V86" s="26" t="str">
        <f aca="false">IF(V$5=$CL86,"◆","")</f>
        <v/>
      </c>
      <c r="W86" s="26" t="str">
        <f aca="false">IF(W$5=$CL86,"◆","")</f>
        <v/>
      </c>
      <c r="X86" s="26" t="str">
        <f aca="false">IF(X$5=$CL86,"◆","")</f>
        <v/>
      </c>
      <c r="Y86" s="26" t="str">
        <f aca="false">IF(Y$5=$CL86,"◆","")</f>
        <v/>
      </c>
      <c r="Z86" s="26" t="str">
        <f aca="false">IF(Z$5=$CL86,"◆","")</f>
        <v/>
      </c>
      <c r="AA86" s="26" t="str">
        <f aca="false">IF(AA$5=$CL86,"◆","")</f>
        <v/>
      </c>
      <c r="AB86" s="26" t="str">
        <f aca="false">IF(AB$5=$CL86,"◆","")</f>
        <v/>
      </c>
      <c r="AC86" s="26" t="str">
        <f aca="false">IF(AC$5=$CL86,"◆","")</f>
        <v/>
      </c>
      <c r="AD86" s="26" t="str">
        <f aca="false">IF(AD$5=$CL86,"◆","")</f>
        <v/>
      </c>
      <c r="AE86" s="26" t="str">
        <f aca="false">IF(AE$5=$CL86,"◆","")</f>
        <v/>
      </c>
      <c r="AF86" s="26" t="str">
        <f aca="false">IF(AF$5=$CL86,"◆","")</f>
        <v/>
      </c>
      <c r="AG86" s="26" t="str">
        <f aca="false">IF(AG$5=$CL86,"◆","")</f>
        <v/>
      </c>
      <c r="AH86" s="26" t="str">
        <f aca="false">IF(AH$5=$CL86,"◆","")</f>
        <v/>
      </c>
      <c r="AI86" s="26" t="str">
        <f aca="false">IF(AI$5=$CL86,"◆","")</f>
        <v/>
      </c>
      <c r="AJ86" s="26" t="str">
        <f aca="false">IF(AJ$5=$CL86,"◆","")</f>
        <v/>
      </c>
      <c r="AK86" s="26" t="str">
        <f aca="false">IF(AK$5=$CL86,"◆","")</f>
        <v/>
      </c>
      <c r="AL86" s="26" t="str">
        <f aca="false">IF(AL$5=$CL86,"◆","")</f>
        <v/>
      </c>
      <c r="AM86" s="26" t="str">
        <f aca="false">IF(AM$5=$CL86,"◆","")</f>
        <v/>
      </c>
      <c r="AN86" s="26" t="str">
        <f aca="false">IF(AN$5=$CL86,"◆","")</f>
        <v/>
      </c>
      <c r="AO86" s="26" t="str">
        <f aca="false">IF(AO$5=$CL86,"◆","")</f>
        <v/>
      </c>
      <c r="AP86" s="26" t="str">
        <f aca="false">IF(AP$5=$CL86,"◆","")</f>
        <v/>
      </c>
      <c r="AQ86" s="26" t="str">
        <f aca="false">IF(AQ$5=$CL86,"◆","")</f>
        <v/>
      </c>
      <c r="AR86" s="26" t="str">
        <f aca="false">IF(AR$5=$CL86,"◆","")</f>
        <v/>
      </c>
      <c r="AS86" s="26" t="str">
        <f aca="false">IF(AS$5=$CL86,"◆","")</f>
        <v>◆</v>
      </c>
      <c r="AT86" s="26" t="str">
        <f aca="false">IF(AT$5=$CL86,"◆","")</f>
        <v/>
      </c>
      <c r="AU86" s="26" t="str">
        <f aca="false">IF(AU$5=$CL86,"◆","")</f>
        <v/>
      </c>
      <c r="AV86" s="26" t="str">
        <f aca="false">IF(AV$5=$CL86,"◆","")</f>
        <v/>
      </c>
      <c r="AW86" s="26" t="str">
        <f aca="false">IF(AW$5=$CL86,"◆","")</f>
        <v/>
      </c>
      <c r="AX86" s="26" t="str">
        <f aca="false">IF(AX$5=$CL86,"◆","")</f>
        <v/>
      </c>
      <c r="AY86" s="26" t="str">
        <f aca="false">IF(AY$5=$CL86,"◆","")</f>
        <v/>
      </c>
      <c r="AZ86" s="26" t="str">
        <f aca="false">IF(AZ$5=$CL86,"◆","")</f>
        <v/>
      </c>
      <c r="BA86" s="26" t="str">
        <f aca="false">IF(BA$5=$CL86,"◆","")</f>
        <v/>
      </c>
      <c r="BB86" s="26" t="str">
        <f aca="false">IF(BB$5=$CL86,"◆","")</f>
        <v/>
      </c>
      <c r="BC86" s="26" t="str">
        <f aca="false">IF(BC$5=$CL86,"◆","")</f>
        <v/>
      </c>
      <c r="BD86" s="26" t="str">
        <f aca="false">IF(BD$5=$CL86,"◆","")</f>
        <v/>
      </c>
      <c r="BE86" s="26" t="str">
        <f aca="false">IF(BE$5=$CL86,"◆","")</f>
        <v/>
      </c>
      <c r="BF86" s="26" t="str">
        <f aca="false">IF(BF$5=$CL86,"◆","")</f>
        <v/>
      </c>
      <c r="BG86" s="26" t="str">
        <f aca="false">IF(BG$5=$CL86,"◆","")</f>
        <v/>
      </c>
      <c r="BH86" s="26" t="str">
        <f aca="false">IF(BH$5=$CL86,"◆","")</f>
        <v/>
      </c>
      <c r="BI86" s="26" t="str">
        <f aca="false">IF(BI$5=$CL86,"◆","")</f>
        <v/>
      </c>
      <c r="BJ86" s="26" t="str">
        <f aca="false">IF(BJ$5=$CL86,"◆","")</f>
        <v/>
      </c>
      <c r="BK86" s="26" t="str">
        <f aca="false">IF(BK$5=$CL86,"◆","")</f>
        <v/>
      </c>
      <c r="BL86" s="26" t="str">
        <f aca="false">IF(BL$5=$CL86,"◆","")</f>
        <v/>
      </c>
      <c r="BM86" s="26" t="str">
        <f aca="false">IF(BM$5=$CL86,"◆","")</f>
        <v/>
      </c>
      <c r="BN86" s="26" t="str">
        <f aca="false">IF(BN$5=$CL86,"◆","")</f>
        <v/>
      </c>
      <c r="BO86" s="26" t="str">
        <f aca="false">IF(BO$5=$CL86,"◆","")</f>
        <v/>
      </c>
      <c r="BP86" s="26" t="str">
        <f aca="false">IF(BP$5=$CL86,"◆","")</f>
        <v/>
      </c>
      <c r="BQ86" s="26" t="str">
        <f aca="false">IF(BQ$5=$CL86,"◆","")</f>
        <v/>
      </c>
      <c r="BR86" s="26" t="str">
        <f aca="false">IF(BR$5=$CL86,"◆","")</f>
        <v/>
      </c>
      <c r="BS86" s="26" t="str">
        <f aca="false">IF(BS$5=$CL86,"◆","")</f>
        <v/>
      </c>
      <c r="BT86" s="26" t="str">
        <f aca="false">IF(BT$5=$CL86,"◆","")</f>
        <v/>
      </c>
      <c r="BU86" s="26" t="str">
        <f aca="false">IF(BU$5=$CL86,"◆","")</f>
        <v/>
      </c>
      <c r="BV86" s="26" t="str">
        <f aca="false">IF(BV$5=$CL86,"◆","")</f>
        <v/>
      </c>
      <c r="BW86" s="26" t="str">
        <f aca="false">IF(BW$5=$CL86,"◆","")</f>
        <v/>
      </c>
      <c r="BX86" s="26" t="str">
        <f aca="false">IF(BX$5=$CL86,"◆","")</f>
        <v/>
      </c>
      <c r="BY86" s="26" t="str">
        <f aca="false">IF(BY$5=$CL86,"◆","")</f>
        <v/>
      </c>
      <c r="BZ86" s="26" t="str">
        <f aca="false">IF(BZ$5=$CL86,"◆","")</f>
        <v/>
      </c>
      <c r="CA86" s="26" t="str">
        <f aca="false">IF(CA$5=$CL86,"◆","")</f>
        <v/>
      </c>
      <c r="CB86" s="26" t="str">
        <f aca="false">IF(CB$5=$CL86,"◆","")</f>
        <v/>
      </c>
      <c r="CC86" s="26" t="str">
        <f aca="false">IF(CC$5=$CL86,"◆","")</f>
        <v/>
      </c>
      <c r="CD86" s="26" t="str">
        <f aca="false">IF(CD$5=$CL86,"◆","")</f>
        <v/>
      </c>
      <c r="CE86" s="26" t="str">
        <f aca="false">IF(CE$5=$CL86,"◆","")</f>
        <v/>
      </c>
      <c r="CF86" s="26" t="str">
        <f aca="false">IF(CF$5=$CL86,"◆","")</f>
        <v/>
      </c>
      <c r="CG86" s="26" t="str">
        <f aca="false">IF(CG$5=$CL86,"◆","")</f>
        <v/>
      </c>
      <c r="CH86" s="26" t="str">
        <f aca="false">IF(CH$5=$CL86,"◆","")</f>
        <v/>
      </c>
      <c r="CJ86" s="1" t="s">
        <v>178</v>
      </c>
      <c r="CL86" s="5" t="n">
        <f aca="false">IFERROR(IF(TRIM(C86)="","",IF(ISNUMBER(C86),C86,DATE(2026,MATCH(LEFT(MID(TRIM(C86),FIND(" ",TRIM(C86))+1,9),3),Lists!$A$1:$A$12,0),VALUE(LEFT(TRIM(C86),FIND(" ",TRIM(C86))-1))))),"")</f>
        <v>46317</v>
      </c>
      <c r="CM86" s="5" t="n">
        <f aca="false">CL86</f>
        <v>46317</v>
      </c>
    </row>
    <row r="87" customFormat="false" ht="14.25" hidden="false" customHeight="true" outlineLevel="0" collapsed="false">
      <c r="A87" s="25" t="s">
        <v>181</v>
      </c>
      <c r="B87" s="18"/>
      <c r="C87" s="19" t="s">
        <v>134</v>
      </c>
      <c r="D87" s="20" t="str">
        <f aca="false">IF(CL87="","",DAY(CL87)&amp;" "&amp;INDEX(Lists!$A$1:$A$12,MONTH(CL87)))</f>
        <v>28 Oct</v>
      </c>
      <c r="E87" s="20" t="n">
        <v>0</v>
      </c>
      <c r="F87" s="21" t="s">
        <v>37</v>
      </c>
      <c r="G87" s="26" t="str">
        <f aca="false">IF(G$5=$CL87,"◆","")</f>
        <v/>
      </c>
      <c r="H87" s="26" t="str">
        <f aca="false">IF(H$5=$CL87,"◆","")</f>
        <v/>
      </c>
      <c r="I87" s="26" t="str">
        <f aca="false">IF(I$5=$CL87,"◆","")</f>
        <v/>
      </c>
      <c r="J87" s="26" t="str">
        <f aca="false">IF(J$5=$CL87,"◆","")</f>
        <v/>
      </c>
      <c r="K87" s="26" t="str">
        <f aca="false">IF(K$5=$CL87,"◆","")</f>
        <v/>
      </c>
      <c r="L87" s="26" t="str">
        <f aca="false">IF(L$5=$CL87,"◆","")</f>
        <v/>
      </c>
      <c r="M87" s="26" t="str">
        <f aca="false">IF(M$5=$CL87,"◆","")</f>
        <v/>
      </c>
      <c r="N87" s="26" t="str">
        <f aca="false">IF(N$5=$CL87,"◆","")</f>
        <v/>
      </c>
      <c r="O87" s="26" t="str">
        <f aca="false">IF(O$5=$CL87,"◆","")</f>
        <v/>
      </c>
      <c r="P87" s="26" t="str">
        <f aca="false">IF(P$5=$CL87,"◆","")</f>
        <v/>
      </c>
      <c r="Q87" s="26" t="str">
        <f aca="false">IF(Q$5=$CL87,"◆","")</f>
        <v/>
      </c>
      <c r="R87" s="26" t="str">
        <f aca="false">IF(R$5=$CL87,"◆","")</f>
        <v/>
      </c>
      <c r="S87" s="26" t="str">
        <f aca="false">IF(S$5=$CL87,"◆","")</f>
        <v/>
      </c>
      <c r="T87" s="26" t="str">
        <f aca="false">IF(T$5=$CL87,"◆","")</f>
        <v/>
      </c>
      <c r="U87" s="26" t="str">
        <f aca="false">IF(U$5=$CL87,"◆","")</f>
        <v/>
      </c>
      <c r="V87" s="26" t="str">
        <f aca="false">IF(V$5=$CL87,"◆","")</f>
        <v/>
      </c>
      <c r="W87" s="26" t="str">
        <f aca="false">IF(W$5=$CL87,"◆","")</f>
        <v/>
      </c>
      <c r="X87" s="26" t="str">
        <f aca="false">IF(X$5=$CL87,"◆","")</f>
        <v/>
      </c>
      <c r="Y87" s="26" t="str">
        <f aca="false">IF(Y$5=$CL87,"◆","")</f>
        <v/>
      </c>
      <c r="Z87" s="26" t="str">
        <f aca="false">IF(Z$5=$CL87,"◆","")</f>
        <v/>
      </c>
      <c r="AA87" s="26" t="str">
        <f aca="false">IF(AA$5=$CL87,"◆","")</f>
        <v/>
      </c>
      <c r="AB87" s="26" t="str">
        <f aca="false">IF(AB$5=$CL87,"◆","")</f>
        <v/>
      </c>
      <c r="AC87" s="26" t="str">
        <f aca="false">IF(AC$5=$CL87,"◆","")</f>
        <v/>
      </c>
      <c r="AD87" s="26" t="str">
        <f aca="false">IF(AD$5=$CL87,"◆","")</f>
        <v/>
      </c>
      <c r="AE87" s="26" t="str">
        <f aca="false">IF(AE$5=$CL87,"◆","")</f>
        <v/>
      </c>
      <c r="AF87" s="26" t="str">
        <f aca="false">IF(AF$5=$CL87,"◆","")</f>
        <v/>
      </c>
      <c r="AG87" s="26" t="str">
        <f aca="false">IF(AG$5=$CL87,"◆","")</f>
        <v/>
      </c>
      <c r="AH87" s="26" t="str">
        <f aca="false">IF(AH$5=$CL87,"◆","")</f>
        <v/>
      </c>
      <c r="AI87" s="26" t="str">
        <f aca="false">IF(AI$5=$CL87,"◆","")</f>
        <v/>
      </c>
      <c r="AJ87" s="26" t="str">
        <f aca="false">IF(AJ$5=$CL87,"◆","")</f>
        <v/>
      </c>
      <c r="AK87" s="26" t="str">
        <f aca="false">IF(AK$5=$CL87,"◆","")</f>
        <v/>
      </c>
      <c r="AL87" s="26" t="str">
        <f aca="false">IF(AL$5=$CL87,"◆","")</f>
        <v/>
      </c>
      <c r="AM87" s="26" t="str">
        <f aca="false">IF(AM$5=$CL87,"◆","")</f>
        <v/>
      </c>
      <c r="AN87" s="26" t="str">
        <f aca="false">IF(AN$5=$CL87,"◆","")</f>
        <v/>
      </c>
      <c r="AO87" s="26" t="str">
        <f aca="false">IF(AO$5=$CL87,"◆","")</f>
        <v/>
      </c>
      <c r="AP87" s="26" t="str">
        <f aca="false">IF(AP$5=$CL87,"◆","")</f>
        <v/>
      </c>
      <c r="AQ87" s="26" t="str">
        <f aca="false">IF(AQ$5=$CL87,"◆","")</f>
        <v/>
      </c>
      <c r="AR87" s="26" t="str">
        <f aca="false">IF(AR$5=$CL87,"◆","")</f>
        <v/>
      </c>
      <c r="AS87" s="26" t="str">
        <f aca="false">IF(AS$5=$CL87,"◆","")</f>
        <v/>
      </c>
      <c r="AT87" s="26" t="str">
        <f aca="false">IF(AT$5=$CL87,"◆","")</f>
        <v/>
      </c>
      <c r="AU87" s="26" t="str">
        <f aca="false">IF(AU$5=$CL87,"◆","")</f>
        <v/>
      </c>
      <c r="AV87" s="26" t="str">
        <f aca="false">IF(AV$5=$CL87,"◆","")</f>
        <v/>
      </c>
      <c r="AW87" s="26" t="str">
        <f aca="false">IF(AW$5=$CL87,"◆","")</f>
        <v/>
      </c>
      <c r="AX87" s="26" t="str">
        <f aca="false">IF(AX$5=$CL87,"◆","")</f>
        <v/>
      </c>
      <c r="AY87" s="26" t="str">
        <f aca="false">IF(AY$5=$CL87,"◆","")</f>
        <v>◆</v>
      </c>
      <c r="AZ87" s="26" t="str">
        <f aca="false">IF(AZ$5=$CL87,"◆","")</f>
        <v/>
      </c>
      <c r="BA87" s="26" t="str">
        <f aca="false">IF(BA$5=$CL87,"◆","")</f>
        <v/>
      </c>
      <c r="BB87" s="26" t="str">
        <f aca="false">IF(BB$5=$CL87,"◆","")</f>
        <v/>
      </c>
      <c r="BC87" s="26" t="str">
        <f aca="false">IF(BC$5=$CL87,"◆","")</f>
        <v/>
      </c>
      <c r="BD87" s="26" t="str">
        <f aca="false">IF(BD$5=$CL87,"◆","")</f>
        <v/>
      </c>
      <c r="BE87" s="26" t="str">
        <f aca="false">IF(BE$5=$CL87,"◆","")</f>
        <v/>
      </c>
      <c r="BF87" s="26" t="str">
        <f aca="false">IF(BF$5=$CL87,"◆","")</f>
        <v/>
      </c>
      <c r="BG87" s="26" t="str">
        <f aca="false">IF(BG$5=$CL87,"◆","")</f>
        <v/>
      </c>
      <c r="BH87" s="26" t="str">
        <f aca="false">IF(BH$5=$CL87,"◆","")</f>
        <v/>
      </c>
      <c r="BI87" s="26" t="str">
        <f aca="false">IF(BI$5=$CL87,"◆","")</f>
        <v/>
      </c>
      <c r="BJ87" s="26" t="str">
        <f aca="false">IF(BJ$5=$CL87,"◆","")</f>
        <v/>
      </c>
      <c r="BK87" s="26" t="str">
        <f aca="false">IF(BK$5=$CL87,"◆","")</f>
        <v/>
      </c>
      <c r="BL87" s="26" t="str">
        <f aca="false">IF(BL$5=$CL87,"◆","")</f>
        <v/>
      </c>
      <c r="BM87" s="26" t="str">
        <f aca="false">IF(BM$5=$CL87,"◆","")</f>
        <v/>
      </c>
      <c r="BN87" s="26" t="str">
        <f aca="false">IF(BN$5=$CL87,"◆","")</f>
        <v/>
      </c>
      <c r="BO87" s="26" t="str">
        <f aca="false">IF(BO$5=$CL87,"◆","")</f>
        <v/>
      </c>
      <c r="BP87" s="26" t="str">
        <f aca="false">IF(BP$5=$CL87,"◆","")</f>
        <v/>
      </c>
      <c r="BQ87" s="26" t="str">
        <f aca="false">IF(BQ$5=$CL87,"◆","")</f>
        <v/>
      </c>
      <c r="BR87" s="26" t="str">
        <f aca="false">IF(BR$5=$CL87,"◆","")</f>
        <v/>
      </c>
      <c r="BS87" s="26" t="str">
        <f aca="false">IF(BS$5=$CL87,"◆","")</f>
        <v/>
      </c>
      <c r="BT87" s="26" t="str">
        <f aca="false">IF(BT$5=$CL87,"◆","")</f>
        <v/>
      </c>
      <c r="BU87" s="26" t="str">
        <f aca="false">IF(BU$5=$CL87,"◆","")</f>
        <v/>
      </c>
      <c r="BV87" s="26" t="str">
        <f aca="false">IF(BV$5=$CL87,"◆","")</f>
        <v/>
      </c>
      <c r="BW87" s="26" t="str">
        <f aca="false">IF(BW$5=$CL87,"◆","")</f>
        <v/>
      </c>
      <c r="BX87" s="26" t="str">
        <f aca="false">IF(BX$5=$CL87,"◆","")</f>
        <v/>
      </c>
      <c r="BY87" s="26" t="str">
        <f aca="false">IF(BY$5=$CL87,"◆","")</f>
        <v/>
      </c>
      <c r="BZ87" s="26" t="str">
        <f aca="false">IF(BZ$5=$CL87,"◆","")</f>
        <v/>
      </c>
      <c r="CA87" s="26" t="str">
        <f aca="false">IF(CA$5=$CL87,"◆","")</f>
        <v/>
      </c>
      <c r="CB87" s="26" t="str">
        <f aca="false">IF(CB$5=$CL87,"◆","")</f>
        <v/>
      </c>
      <c r="CC87" s="26" t="str">
        <f aca="false">IF(CC$5=$CL87,"◆","")</f>
        <v/>
      </c>
      <c r="CD87" s="26" t="str">
        <f aca="false">IF(CD$5=$CL87,"◆","")</f>
        <v/>
      </c>
      <c r="CE87" s="26" t="str">
        <f aca="false">IF(CE$5=$CL87,"◆","")</f>
        <v/>
      </c>
      <c r="CF87" s="26" t="str">
        <f aca="false">IF(CF$5=$CL87,"◆","")</f>
        <v/>
      </c>
      <c r="CG87" s="26" t="str">
        <f aca="false">IF(CG$5=$CL87,"◆","")</f>
        <v/>
      </c>
      <c r="CH87" s="26" t="str">
        <f aca="false">IF(CH$5=$CL87,"◆","")</f>
        <v/>
      </c>
      <c r="CJ87" s="1" t="s">
        <v>178</v>
      </c>
      <c r="CL87" s="5" t="n">
        <f aca="false">IFERROR(IF(TRIM(C87)="","",IF(ISNUMBER(C87),C87,DATE(2026,MATCH(LEFT(MID(TRIM(C87),FIND(" ",TRIM(C87))+1,9),3),Lists!$A$1:$A$12,0),VALUE(LEFT(TRIM(C87),FIND(" ",TRIM(C87))-1))))),"")</f>
        <v>46323</v>
      </c>
      <c r="CM87" s="5" t="n">
        <f aca="false">CL87</f>
        <v>46323</v>
      </c>
    </row>
    <row r="88" customFormat="false" ht="14.25" hidden="false" customHeight="true" outlineLevel="0" collapsed="false">
      <c r="A88" s="25" t="s">
        <v>182</v>
      </c>
      <c r="B88" s="18"/>
      <c r="C88" s="19" t="s">
        <v>127</v>
      </c>
      <c r="D88" s="20" t="str">
        <f aca="false">IF(CL88="","",DAY(CL88)&amp;" "&amp;INDEX(Lists!$A$1:$A$12,MONTH(CL88)))</f>
        <v>15 Nov</v>
      </c>
      <c r="E88" s="20" t="n">
        <v>0</v>
      </c>
      <c r="F88" s="21" t="s">
        <v>62</v>
      </c>
      <c r="G88" s="26" t="str">
        <f aca="false">IF(G$5=$CL88,"◆","")</f>
        <v/>
      </c>
      <c r="H88" s="26" t="str">
        <f aca="false">IF(H$5=$CL88,"◆","")</f>
        <v/>
      </c>
      <c r="I88" s="26" t="str">
        <f aca="false">IF(I$5=$CL88,"◆","")</f>
        <v/>
      </c>
      <c r="J88" s="26" t="str">
        <f aca="false">IF(J$5=$CL88,"◆","")</f>
        <v/>
      </c>
      <c r="K88" s="26" t="str">
        <f aca="false">IF(K$5=$CL88,"◆","")</f>
        <v/>
      </c>
      <c r="L88" s="26" t="str">
        <f aca="false">IF(L$5=$CL88,"◆","")</f>
        <v/>
      </c>
      <c r="M88" s="26" t="str">
        <f aca="false">IF(M$5=$CL88,"◆","")</f>
        <v/>
      </c>
      <c r="N88" s="26" t="str">
        <f aca="false">IF(N$5=$CL88,"◆","")</f>
        <v/>
      </c>
      <c r="O88" s="26" t="str">
        <f aca="false">IF(O$5=$CL88,"◆","")</f>
        <v/>
      </c>
      <c r="P88" s="26" t="str">
        <f aca="false">IF(P$5=$CL88,"◆","")</f>
        <v/>
      </c>
      <c r="Q88" s="26" t="str">
        <f aca="false">IF(Q$5=$CL88,"◆","")</f>
        <v/>
      </c>
      <c r="R88" s="26" t="str">
        <f aca="false">IF(R$5=$CL88,"◆","")</f>
        <v/>
      </c>
      <c r="S88" s="26" t="str">
        <f aca="false">IF(S$5=$CL88,"◆","")</f>
        <v/>
      </c>
      <c r="T88" s="26" t="str">
        <f aca="false">IF(T$5=$CL88,"◆","")</f>
        <v/>
      </c>
      <c r="U88" s="26" t="str">
        <f aca="false">IF(U$5=$CL88,"◆","")</f>
        <v/>
      </c>
      <c r="V88" s="26" t="str">
        <f aca="false">IF(V$5=$CL88,"◆","")</f>
        <v/>
      </c>
      <c r="W88" s="26" t="str">
        <f aca="false">IF(W$5=$CL88,"◆","")</f>
        <v/>
      </c>
      <c r="X88" s="26" t="str">
        <f aca="false">IF(X$5=$CL88,"◆","")</f>
        <v/>
      </c>
      <c r="Y88" s="26" t="str">
        <f aca="false">IF(Y$5=$CL88,"◆","")</f>
        <v/>
      </c>
      <c r="Z88" s="26" t="str">
        <f aca="false">IF(Z$5=$CL88,"◆","")</f>
        <v/>
      </c>
      <c r="AA88" s="26" t="str">
        <f aca="false">IF(AA$5=$CL88,"◆","")</f>
        <v/>
      </c>
      <c r="AB88" s="26" t="str">
        <f aca="false">IF(AB$5=$CL88,"◆","")</f>
        <v/>
      </c>
      <c r="AC88" s="26" t="str">
        <f aca="false">IF(AC$5=$CL88,"◆","")</f>
        <v/>
      </c>
      <c r="AD88" s="26" t="str">
        <f aca="false">IF(AD$5=$CL88,"◆","")</f>
        <v/>
      </c>
      <c r="AE88" s="26" t="str">
        <f aca="false">IF(AE$5=$CL88,"◆","")</f>
        <v/>
      </c>
      <c r="AF88" s="26" t="str">
        <f aca="false">IF(AF$5=$CL88,"◆","")</f>
        <v/>
      </c>
      <c r="AG88" s="26" t="str">
        <f aca="false">IF(AG$5=$CL88,"◆","")</f>
        <v/>
      </c>
      <c r="AH88" s="26" t="str">
        <f aca="false">IF(AH$5=$CL88,"◆","")</f>
        <v/>
      </c>
      <c r="AI88" s="26" t="str">
        <f aca="false">IF(AI$5=$CL88,"◆","")</f>
        <v/>
      </c>
      <c r="AJ88" s="26" t="str">
        <f aca="false">IF(AJ$5=$CL88,"◆","")</f>
        <v/>
      </c>
      <c r="AK88" s="26" t="str">
        <f aca="false">IF(AK$5=$CL88,"◆","")</f>
        <v/>
      </c>
      <c r="AL88" s="26" t="str">
        <f aca="false">IF(AL$5=$CL88,"◆","")</f>
        <v/>
      </c>
      <c r="AM88" s="26" t="str">
        <f aca="false">IF(AM$5=$CL88,"◆","")</f>
        <v/>
      </c>
      <c r="AN88" s="26" t="str">
        <f aca="false">IF(AN$5=$CL88,"◆","")</f>
        <v/>
      </c>
      <c r="AO88" s="26" t="str">
        <f aca="false">IF(AO$5=$CL88,"◆","")</f>
        <v/>
      </c>
      <c r="AP88" s="26" t="str">
        <f aca="false">IF(AP$5=$CL88,"◆","")</f>
        <v/>
      </c>
      <c r="AQ88" s="26" t="str">
        <f aca="false">IF(AQ$5=$CL88,"◆","")</f>
        <v/>
      </c>
      <c r="AR88" s="26" t="str">
        <f aca="false">IF(AR$5=$CL88,"◆","")</f>
        <v/>
      </c>
      <c r="AS88" s="26" t="str">
        <f aca="false">IF(AS$5=$CL88,"◆","")</f>
        <v/>
      </c>
      <c r="AT88" s="26" t="str">
        <f aca="false">IF(AT$5=$CL88,"◆","")</f>
        <v/>
      </c>
      <c r="AU88" s="26" t="str">
        <f aca="false">IF(AU$5=$CL88,"◆","")</f>
        <v/>
      </c>
      <c r="AV88" s="26" t="str">
        <f aca="false">IF(AV$5=$CL88,"◆","")</f>
        <v/>
      </c>
      <c r="AW88" s="26" t="str">
        <f aca="false">IF(AW$5=$CL88,"◆","")</f>
        <v/>
      </c>
      <c r="AX88" s="26" t="str">
        <f aca="false">IF(AX$5=$CL88,"◆","")</f>
        <v/>
      </c>
      <c r="AY88" s="26" t="str">
        <f aca="false">IF(AY$5=$CL88,"◆","")</f>
        <v/>
      </c>
      <c r="AZ88" s="26" t="str">
        <f aca="false">IF(AZ$5=$CL88,"◆","")</f>
        <v/>
      </c>
      <c r="BA88" s="26" t="str">
        <f aca="false">IF(BA$5=$CL88,"◆","")</f>
        <v/>
      </c>
      <c r="BB88" s="26" t="str">
        <f aca="false">IF(BB$5=$CL88,"◆","")</f>
        <v/>
      </c>
      <c r="BC88" s="26" t="str">
        <f aca="false">IF(BC$5=$CL88,"◆","")</f>
        <v/>
      </c>
      <c r="BD88" s="26" t="str">
        <f aca="false">IF(BD$5=$CL88,"◆","")</f>
        <v/>
      </c>
      <c r="BE88" s="26" t="str">
        <f aca="false">IF(BE$5=$CL88,"◆","")</f>
        <v/>
      </c>
      <c r="BF88" s="26" t="str">
        <f aca="false">IF(BF$5=$CL88,"◆","")</f>
        <v/>
      </c>
      <c r="BG88" s="26" t="str">
        <f aca="false">IF(BG$5=$CL88,"◆","")</f>
        <v/>
      </c>
      <c r="BH88" s="26" t="str">
        <f aca="false">IF(BH$5=$CL88,"◆","")</f>
        <v/>
      </c>
      <c r="BI88" s="26" t="str">
        <f aca="false">IF(BI$5=$CL88,"◆","")</f>
        <v/>
      </c>
      <c r="BJ88" s="26" t="str">
        <f aca="false">IF(BJ$5=$CL88,"◆","")</f>
        <v/>
      </c>
      <c r="BK88" s="26" t="str">
        <f aca="false">IF(BK$5=$CL88,"◆","")</f>
        <v/>
      </c>
      <c r="BL88" s="26" t="str">
        <f aca="false">IF(BL$5=$CL88,"◆","")</f>
        <v/>
      </c>
      <c r="BM88" s="26" t="str">
        <f aca="false">IF(BM$5=$CL88,"◆","")</f>
        <v/>
      </c>
      <c r="BN88" s="26" t="str">
        <f aca="false">IF(BN$5=$CL88,"◆","")</f>
        <v/>
      </c>
      <c r="BO88" s="26" t="str">
        <f aca="false">IF(BO$5=$CL88,"◆","")</f>
        <v/>
      </c>
      <c r="BP88" s="26" t="str">
        <f aca="false">IF(BP$5=$CL88,"◆","")</f>
        <v/>
      </c>
      <c r="BQ88" s="26" t="str">
        <f aca="false">IF(BQ$5=$CL88,"◆","")</f>
        <v>◆</v>
      </c>
      <c r="BR88" s="26" t="str">
        <f aca="false">IF(BR$5=$CL88,"◆","")</f>
        <v/>
      </c>
      <c r="BS88" s="26" t="str">
        <f aca="false">IF(BS$5=$CL88,"◆","")</f>
        <v/>
      </c>
      <c r="BT88" s="26" t="str">
        <f aca="false">IF(BT$5=$CL88,"◆","")</f>
        <v/>
      </c>
      <c r="BU88" s="26" t="str">
        <f aca="false">IF(BU$5=$CL88,"◆","")</f>
        <v/>
      </c>
      <c r="BV88" s="26" t="str">
        <f aca="false">IF(BV$5=$CL88,"◆","")</f>
        <v/>
      </c>
      <c r="BW88" s="26" t="str">
        <f aca="false">IF(BW$5=$CL88,"◆","")</f>
        <v/>
      </c>
      <c r="BX88" s="26" t="str">
        <f aca="false">IF(BX$5=$CL88,"◆","")</f>
        <v/>
      </c>
      <c r="BY88" s="26" t="str">
        <f aca="false">IF(BY$5=$CL88,"◆","")</f>
        <v/>
      </c>
      <c r="BZ88" s="26" t="str">
        <f aca="false">IF(BZ$5=$CL88,"◆","")</f>
        <v/>
      </c>
      <c r="CA88" s="26" t="str">
        <f aca="false">IF(CA$5=$CL88,"◆","")</f>
        <v/>
      </c>
      <c r="CB88" s="26" t="str">
        <f aca="false">IF(CB$5=$CL88,"◆","")</f>
        <v/>
      </c>
      <c r="CC88" s="26" t="str">
        <f aca="false">IF(CC$5=$CL88,"◆","")</f>
        <v/>
      </c>
      <c r="CD88" s="26" t="str">
        <f aca="false">IF(CD$5=$CL88,"◆","")</f>
        <v/>
      </c>
      <c r="CE88" s="26" t="str">
        <f aca="false">IF(CE$5=$CL88,"◆","")</f>
        <v/>
      </c>
      <c r="CF88" s="26" t="str">
        <f aca="false">IF(CF$5=$CL88,"◆","")</f>
        <v/>
      </c>
      <c r="CG88" s="26" t="str">
        <f aca="false">IF(CG$5=$CL88,"◆","")</f>
        <v/>
      </c>
      <c r="CH88" s="26" t="str">
        <f aca="false">IF(CH$5=$CL88,"◆","")</f>
        <v/>
      </c>
      <c r="CJ88" s="1" t="s">
        <v>178</v>
      </c>
      <c r="CL88" s="5" t="n">
        <f aca="false">IFERROR(IF(TRIM(C88)="","",IF(ISNUMBER(C88),C88,DATE(2026,MATCH(LEFT(MID(TRIM(C88),FIND(" ",TRIM(C88))+1,9),3),Lists!$A$1:$A$12,0),VALUE(LEFT(TRIM(C88),FIND(" ",TRIM(C88))-1))))),"")</f>
        <v>46341</v>
      </c>
      <c r="CM88" s="5" t="n">
        <f aca="false">CL88</f>
        <v>46341</v>
      </c>
    </row>
    <row r="89" customFormat="false" ht="14.25" hidden="false" customHeight="true" outlineLevel="0" collapsed="false">
      <c r="A89" s="25" t="s">
        <v>183</v>
      </c>
      <c r="B89" s="18"/>
      <c r="C89" s="19" t="s">
        <v>184</v>
      </c>
      <c r="D89" s="20" t="str">
        <f aca="false">IF(CL89="","",DAY(CL89)&amp;" "&amp;INDEX(Lists!$A$1:$A$12,MONTH(CL89)))</f>
        <v>18 Nov</v>
      </c>
      <c r="E89" s="20" t="n">
        <v>0</v>
      </c>
      <c r="F89" s="21" t="s">
        <v>62</v>
      </c>
      <c r="G89" s="26" t="str">
        <f aca="false">IF(G$5=$CL89,"◆","")</f>
        <v/>
      </c>
      <c r="H89" s="26" t="str">
        <f aca="false">IF(H$5=$CL89,"◆","")</f>
        <v/>
      </c>
      <c r="I89" s="26" t="str">
        <f aca="false">IF(I$5=$CL89,"◆","")</f>
        <v/>
      </c>
      <c r="J89" s="26" t="str">
        <f aca="false">IF(J$5=$CL89,"◆","")</f>
        <v/>
      </c>
      <c r="K89" s="26" t="str">
        <f aca="false">IF(K$5=$CL89,"◆","")</f>
        <v/>
      </c>
      <c r="L89" s="26" t="str">
        <f aca="false">IF(L$5=$CL89,"◆","")</f>
        <v/>
      </c>
      <c r="M89" s="26" t="str">
        <f aca="false">IF(M$5=$CL89,"◆","")</f>
        <v/>
      </c>
      <c r="N89" s="26" t="str">
        <f aca="false">IF(N$5=$CL89,"◆","")</f>
        <v/>
      </c>
      <c r="O89" s="26" t="str">
        <f aca="false">IF(O$5=$CL89,"◆","")</f>
        <v/>
      </c>
      <c r="P89" s="26" t="str">
        <f aca="false">IF(P$5=$CL89,"◆","")</f>
        <v/>
      </c>
      <c r="Q89" s="26" t="str">
        <f aca="false">IF(Q$5=$CL89,"◆","")</f>
        <v/>
      </c>
      <c r="R89" s="26" t="str">
        <f aca="false">IF(R$5=$CL89,"◆","")</f>
        <v/>
      </c>
      <c r="S89" s="26" t="str">
        <f aca="false">IF(S$5=$CL89,"◆","")</f>
        <v/>
      </c>
      <c r="T89" s="26" t="str">
        <f aca="false">IF(T$5=$CL89,"◆","")</f>
        <v/>
      </c>
      <c r="U89" s="26" t="str">
        <f aca="false">IF(U$5=$CL89,"◆","")</f>
        <v/>
      </c>
      <c r="V89" s="26" t="str">
        <f aca="false">IF(V$5=$CL89,"◆","")</f>
        <v/>
      </c>
      <c r="W89" s="26" t="str">
        <f aca="false">IF(W$5=$CL89,"◆","")</f>
        <v/>
      </c>
      <c r="X89" s="26" t="str">
        <f aca="false">IF(X$5=$CL89,"◆","")</f>
        <v/>
      </c>
      <c r="Y89" s="26" t="str">
        <f aca="false">IF(Y$5=$CL89,"◆","")</f>
        <v/>
      </c>
      <c r="Z89" s="26" t="str">
        <f aca="false">IF(Z$5=$CL89,"◆","")</f>
        <v/>
      </c>
      <c r="AA89" s="26" t="str">
        <f aca="false">IF(AA$5=$CL89,"◆","")</f>
        <v/>
      </c>
      <c r="AB89" s="26" t="str">
        <f aca="false">IF(AB$5=$CL89,"◆","")</f>
        <v/>
      </c>
      <c r="AC89" s="26" t="str">
        <f aca="false">IF(AC$5=$CL89,"◆","")</f>
        <v/>
      </c>
      <c r="AD89" s="26" t="str">
        <f aca="false">IF(AD$5=$CL89,"◆","")</f>
        <v/>
      </c>
      <c r="AE89" s="26" t="str">
        <f aca="false">IF(AE$5=$CL89,"◆","")</f>
        <v/>
      </c>
      <c r="AF89" s="26" t="str">
        <f aca="false">IF(AF$5=$CL89,"◆","")</f>
        <v/>
      </c>
      <c r="AG89" s="26" t="str">
        <f aca="false">IF(AG$5=$CL89,"◆","")</f>
        <v/>
      </c>
      <c r="AH89" s="26" t="str">
        <f aca="false">IF(AH$5=$CL89,"◆","")</f>
        <v/>
      </c>
      <c r="AI89" s="26" t="str">
        <f aca="false">IF(AI$5=$CL89,"◆","")</f>
        <v/>
      </c>
      <c r="AJ89" s="26" t="str">
        <f aca="false">IF(AJ$5=$CL89,"◆","")</f>
        <v/>
      </c>
      <c r="AK89" s="26" t="str">
        <f aca="false">IF(AK$5=$CL89,"◆","")</f>
        <v/>
      </c>
      <c r="AL89" s="26" t="str">
        <f aca="false">IF(AL$5=$CL89,"◆","")</f>
        <v/>
      </c>
      <c r="AM89" s="26" t="str">
        <f aca="false">IF(AM$5=$CL89,"◆","")</f>
        <v/>
      </c>
      <c r="AN89" s="26" t="str">
        <f aca="false">IF(AN$5=$CL89,"◆","")</f>
        <v/>
      </c>
      <c r="AO89" s="26" t="str">
        <f aca="false">IF(AO$5=$CL89,"◆","")</f>
        <v/>
      </c>
      <c r="AP89" s="26" t="str">
        <f aca="false">IF(AP$5=$CL89,"◆","")</f>
        <v/>
      </c>
      <c r="AQ89" s="26" t="str">
        <f aca="false">IF(AQ$5=$CL89,"◆","")</f>
        <v/>
      </c>
      <c r="AR89" s="26" t="str">
        <f aca="false">IF(AR$5=$CL89,"◆","")</f>
        <v/>
      </c>
      <c r="AS89" s="26" t="str">
        <f aca="false">IF(AS$5=$CL89,"◆","")</f>
        <v/>
      </c>
      <c r="AT89" s="26" t="str">
        <f aca="false">IF(AT$5=$CL89,"◆","")</f>
        <v/>
      </c>
      <c r="AU89" s="26" t="str">
        <f aca="false">IF(AU$5=$CL89,"◆","")</f>
        <v/>
      </c>
      <c r="AV89" s="26" t="str">
        <f aca="false">IF(AV$5=$CL89,"◆","")</f>
        <v/>
      </c>
      <c r="AW89" s="26" t="str">
        <f aca="false">IF(AW$5=$CL89,"◆","")</f>
        <v/>
      </c>
      <c r="AX89" s="26" t="str">
        <f aca="false">IF(AX$5=$CL89,"◆","")</f>
        <v/>
      </c>
      <c r="AY89" s="26" t="str">
        <f aca="false">IF(AY$5=$CL89,"◆","")</f>
        <v/>
      </c>
      <c r="AZ89" s="26" t="str">
        <f aca="false">IF(AZ$5=$CL89,"◆","")</f>
        <v/>
      </c>
      <c r="BA89" s="26" t="str">
        <f aca="false">IF(BA$5=$CL89,"◆","")</f>
        <v/>
      </c>
      <c r="BB89" s="26" t="str">
        <f aca="false">IF(BB$5=$CL89,"◆","")</f>
        <v/>
      </c>
      <c r="BC89" s="26" t="str">
        <f aca="false">IF(BC$5=$CL89,"◆","")</f>
        <v/>
      </c>
      <c r="BD89" s="26" t="str">
        <f aca="false">IF(BD$5=$CL89,"◆","")</f>
        <v/>
      </c>
      <c r="BE89" s="26" t="str">
        <f aca="false">IF(BE$5=$CL89,"◆","")</f>
        <v/>
      </c>
      <c r="BF89" s="26" t="str">
        <f aca="false">IF(BF$5=$CL89,"◆","")</f>
        <v/>
      </c>
      <c r="BG89" s="26" t="str">
        <f aca="false">IF(BG$5=$CL89,"◆","")</f>
        <v/>
      </c>
      <c r="BH89" s="26" t="str">
        <f aca="false">IF(BH$5=$CL89,"◆","")</f>
        <v/>
      </c>
      <c r="BI89" s="26" t="str">
        <f aca="false">IF(BI$5=$CL89,"◆","")</f>
        <v/>
      </c>
      <c r="BJ89" s="26" t="str">
        <f aca="false">IF(BJ$5=$CL89,"◆","")</f>
        <v/>
      </c>
      <c r="BK89" s="26" t="str">
        <f aca="false">IF(BK$5=$CL89,"◆","")</f>
        <v/>
      </c>
      <c r="BL89" s="26" t="str">
        <f aca="false">IF(BL$5=$CL89,"◆","")</f>
        <v/>
      </c>
      <c r="BM89" s="26" t="str">
        <f aca="false">IF(BM$5=$CL89,"◆","")</f>
        <v/>
      </c>
      <c r="BN89" s="26" t="str">
        <f aca="false">IF(BN$5=$CL89,"◆","")</f>
        <v/>
      </c>
      <c r="BO89" s="26" t="str">
        <f aca="false">IF(BO$5=$CL89,"◆","")</f>
        <v/>
      </c>
      <c r="BP89" s="26" t="str">
        <f aca="false">IF(BP$5=$CL89,"◆","")</f>
        <v/>
      </c>
      <c r="BQ89" s="26" t="str">
        <f aca="false">IF(BQ$5=$CL89,"◆","")</f>
        <v/>
      </c>
      <c r="BR89" s="26" t="str">
        <f aca="false">IF(BR$5=$CL89,"◆","")</f>
        <v/>
      </c>
      <c r="BS89" s="26" t="str">
        <f aca="false">IF(BS$5=$CL89,"◆","")</f>
        <v/>
      </c>
      <c r="BT89" s="26" t="str">
        <f aca="false">IF(BT$5=$CL89,"◆","")</f>
        <v>◆</v>
      </c>
      <c r="BU89" s="26" t="str">
        <f aca="false">IF(BU$5=$CL89,"◆","")</f>
        <v/>
      </c>
      <c r="BV89" s="26" t="str">
        <f aca="false">IF(BV$5=$CL89,"◆","")</f>
        <v/>
      </c>
      <c r="BW89" s="26" t="str">
        <f aca="false">IF(BW$5=$CL89,"◆","")</f>
        <v/>
      </c>
      <c r="BX89" s="26" t="str">
        <f aca="false">IF(BX$5=$CL89,"◆","")</f>
        <v/>
      </c>
      <c r="BY89" s="26" t="str">
        <f aca="false">IF(BY$5=$CL89,"◆","")</f>
        <v/>
      </c>
      <c r="BZ89" s="26" t="str">
        <f aca="false">IF(BZ$5=$CL89,"◆","")</f>
        <v/>
      </c>
      <c r="CA89" s="26" t="str">
        <f aca="false">IF(CA$5=$CL89,"◆","")</f>
        <v/>
      </c>
      <c r="CB89" s="26" t="str">
        <f aca="false">IF(CB$5=$CL89,"◆","")</f>
        <v/>
      </c>
      <c r="CC89" s="26" t="str">
        <f aca="false">IF(CC$5=$CL89,"◆","")</f>
        <v/>
      </c>
      <c r="CD89" s="26" t="str">
        <f aca="false">IF(CD$5=$CL89,"◆","")</f>
        <v/>
      </c>
      <c r="CE89" s="26" t="str">
        <f aca="false">IF(CE$5=$CL89,"◆","")</f>
        <v/>
      </c>
      <c r="CF89" s="26" t="str">
        <f aca="false">IF(CF$5=$CL89,"◆","")</f>
        <v/>
      </c>
      <c r="CG89" s="26" t="str">
        <f aca="false">IF(CG$5=$CL89,"◆","")</f>
        <v/>
      </c>
      <c r="CH89" s="26" t="str">
        <f aca="false">IF(CH$5=$CL89,"◆","")</f>
        <v/>
      </c>
      <c r="CJ89" s="1" t="s">
        <v>178</v>
      </c>
      <c r="CL89" s="5" t="n">
        <f aca="false">IFERROR(IF(TRIM(C89)="","",IF(ISNUMBER(C89),C89,DATE(2026,MATCH(LEFT(MID(TRIM(C89),FIND(" ",TRIM(C89))+1,9),3),Lists!$A$1:$A$12,0),VALUE(LEFT(TRIM(C89),FIND(" ",TRIM(C89))-1))))),"")</f>
        <v>46344</v>
      </c>
      <c r="CM89" s="5" t="n">
        <f aca="false">CL89</f>
        <v>46344</v>
      </c>
    </row>
    <row r="90" customFormat="false" ht="14.25" hidden="false" customHeight="true" outlineLevel="0" collapsed="false">
      <c r="A90" s="25" t="s">
        <v>185</v>
      </c>
      <c r="B90" s="18"/>
      <c r="C90" s="19" t="s">
        <v>145</v>
      </c>
      <c r="D90" s="20" t="str">
        <f aca="false">IF(CL90="","",DAY(CL90)&amp;" "&amp;INDEX(Lists!$A$1:$A$12,MONTH(CL90)))</f>
        <v>25 Nov</v>
      </c>
      <c r="E90" s="20" t="n">
        <v>0</v>
      </c>
      <c r="F90" s="21" t="s">
        <v>62</v>
      </c>
      <c r="G90" s="26" t="str">
        <f aca="false">IF(G$5=$CL90,"◆","")</f>
        <v/>
      </c>
      <c r="H90" s="26" t="str">
        <f aca="false">IF(H$5=$CL90,"◆","")</f>
        <v/>
      </c>
      <c r="I90" s="26" t="str">
        <f aca="false">IF(I$5=$CL90,"◆","")</f>
        <v/>
      </c>
      <c r="J90" s="26" t="str">
        <f aca="false">IF(J$5=$CL90,"◆","")</f>
        <v/>
      </c>
      <c r="K90" s="26" t="str">
        <f aca="false">IF(K$5=$CL90,"◆","")</f>
        <v/>
      </c>
      <c r="L90" s="26" t="str">
        <f aca="false">IF(L$5=$CL90,"◆","")</f>
        <v/>
      </c>
      <c r="M90" s="26" t="str">
        <f aca="false">IF(M$5=$CL90,"◆","")</f>
        <v/>
      </c>
      <c r="N90" s="26" t="str">
        <f aca="false">IF(N$5=$CL90,"◆","")</f>
        <v/>
      </c>
      <c r="O90" s="26" t="str">
        <f aca="false">IF(O$5=$CL90,"◆","")</f>
        <v/>
      </c>
      <c r="P90" s="26" t="str">
        <f aca="false">IF(P$5=$CL90,"◆","")</f>
        <v/>
      </c>
      <c r="Q90" s="26" t="str">
        <f aca="false">IF(Q$5=$CL90,"◆","")</f>
        <v/>
      </c>
      <c r="R90" s="26" t="str">
        <f aca="false">IF(R$5=$CL90,"◆","")</f>
        <v/>
      </c>
      <c r="S90" s="26" t="str">
        <f aca="false">IF(S$5=$CL90,"◆","")</f>
        <v/>
      </c>
      <c r="T90" s="26" t="str">
        <f aca="false">IF(T$5=$CL90,"◆","")</f>
        <v/>
      </c>
      <c r="U90" s="26" t="str">
        <f aca="false">IF(U$5=$CL90,"◆","")</f>
        <v/>
      </c>
      <c r="V90" s="26" t="str">
        <f aca="false">IF(V$5=$CL90,"◆","")</f>
        <v/>
      </c>
      <c r="W90" s="26" t="str">
        <f aca="false">IF(W$5=$CL90,"◆","")</f>
        <v/>
      </c>
      <c r="X90" s="26" t="str">
        <f aca="false">IF(X$5=$CL90,"◆","")</f>
        <v/>
      </c>
      <c r="Y90" s="26" t="str">
        <f aca="false">IF(Y$5=$CL90,"◆","")</f>
        <v/>
      </c>
      <c r="Z90" s="26" t="str">
        <f aca="false">IF(Z$5=$CL90,"◆","")</f>
        <v/>
      </c>
      <c r="AA90" s="26" t="str">
        <f aca="false">IF(AA$5=$CL90,"◆","")</f>
        <v/>
      </c>
      <c r="AB90" s="26" t="str">
        <f aca="false">IF(AB$5=$CL90,"◆","")</f>
        <v/>
      </c>
      <c r="AC90" s="26" t="str">
        <f aca="false">IF(AC$5=$CL90,"◆","")</f>
        <v/>
      </c>
      <c r="AD90" s="26" t="str">
        <f aca="false">IF(AD$5=$CL90,"◆","")</f>
        <v/>
      </c>
      <c r="AE90" s="26" t="str">
        <f aca="false">IF(AE$5=$CL90,"◆","")</f>
        <v/>
      </c>
      <c r="AF90" s="26" t="str">
        <f aca="false">IF(AF$5=$CL90,"◆","")</f>
        <v/>
      </c>
      <c r="AG90" s="26" t="str">
        <f aca="false">IF(AG$5=$CL90,"◆","")</f>
        <v/>
      </c>
      <c r="AH90" s="26" t="str">
        <f aca="false">IF(AH$5=$CL90,"◆","")</f>
        <v/>
      </c>
      <c r="AI90" s="26" t="str">
        <f aca="false">IF(AI$5=$CL90,"◆","")</f>
        <v/>
      </c>
      <c r="AJ90" s="26" t="str">
        <f aca="false">IF(AJ$5=$CL90,"◆","")</f>
        <v/>
      </c>
      <c r="AK90" s="26" t="str">
        <f aca="false">IF(AK$5=$CL90,"◆","")</f>
        <v/>
      </c>
      <c r="AL90" s="26" t="str">
        <f aca="false">IF(AL$5=$CL90,"◆","")</f>
        <v/>
      </c>
      <c r="AM90" s="26" t="str">
        <f aca="false">IF(AM$5=$CL90,"◆","")</f>
        <v/>
      </c>
      <c r="AN90" s="26" t="str">
        <f aca="false">IF(AN$5=$CL90,"◆","")</f>
        <v/>
      </c>
      <c r="AO90" s="26" t="str">
        <f aca="false">IF(AO$5=$CL90,"◆","")</f>
        <v/>
      </c>
      <c r="AP90" s="26" t="str">
        <f aca="false">IF(AP$5=$CL90,"◆","")</f>
        <v/>
      </c>
      <c r="AQ90" s="26" t="str">
        <f aca="false">IF(AQ$5=$CL90,"◆","")</f>
        <v/>
      </c>
      <c r="AR90" s="26" t="str">
        <f aca="false">IF(AR$5=$CL90,"◆","")</f>
        <v/>
      </c>
      <c r="AS90" s="26" t="str">
        <f aca="false">IF(AS$5=$CL90,"◆","")</f>
        <v/>
      </c>
      <c r="AT90" s="26" t="str">
        <f aca="false">IF(AT$5=$CL90,"◆","")</f>
        <v/>
      </c>
      <c r="AU90" s="26" t="str">
        <f aca="false">IF(AU$5=$CL90,"◆","")</f>
        <v/>
      </c>
      <c r="AV90" s="26" t="str">
        <f aca="false">IF(AV$5=$CL90,"◆","")</f>
        <v/>
      </c>
      <c r="AW90" s="26" t="str">
        <f aca="false">IF(AW$5=$CL90,"◆","")</f>
        <v/>
      </c>
      <c r="AX90" s="26" t="str">
        <f aca="false">IF(AX$5=$CL90,"◆","")</f>
        <v/>
      </c>
      <c r="AY90" s="26" t="str">
        <f aca="false">IF(AY$5=$CL90,"◆","")</f>
        <v/>
      </c>
      <c r="AZ90" s="26" t="str">
        <f aca="false">IF(AZ$5=$CL90,"◆","")</f>
        <v/>
      </c>
      <c r="BA90" s="26" t="str">
        <f aca="false">IF(BA$5=$CL90,"◆","")</f>
        <v/>
      </c>
      <c r="BB90" s="26" t="str">
        <f aca="false">IF(BB$5=$CL90,"◆","")</f>
        <v/>
      </c>
      <c r="BC90" s="26" t="str">
        <f aca="false">IF(BC$5=$CL90,"◆","")</f>
        <v/>
      </c>
      <c r="BD90" s="26" t="str">
        <f aca="false">IF(BD$5=$CL90,"◆","")</f>
        <v/>
      </c>
      <c r="BE90" s="26" t="str">
        <f aca="false">IF(BE$5=$CL90,"◆","")</f>
        <v/>
      </c>
      <c r="BF90" s="26" t="str">
        <f aca="false">IF(BF$5=$CL90,"◆","")</f>
        <v/>
      </c>
      <c r="BG90" s="26" t="str">
        <f aca="false">IF(BG$5=$CL90,"◆","")</f>
        <v/>
      </c>
      <c r="BH90" s="26" t="str">
        <f aca="false">IF(BH$5=$CL90,"◆","")</f>
        <v/>
      </c>
      <c r="BI90" s="26" t="str">
        <f aca="false">IF(BI$5=$CL90,"◆","")</f>
        <v/>
      </c>
      <c r="BJ90" s="26" t="str">
        <f aca="false">IF(BJ$5=$CL90,"◆","")</f>
        <v/>
      </c>
      <c r="BK90" s="26" t="str">
        <f aca="false">IF(BK$5=$CL90,"◆","")</f>
        <v/>
      </c>
      <c r="BL90" s="26" t="str">
        <f aca="false">IF(BL$5=$CL90,"◆","")</f>
        <v/>
      </c>
      <c r="BM90" s="26" t="str">
        <f aca="false">IF(BM$5=$CL90,"◆","")</f>
        <v/>
      </c>
      <c r="BN90" s="26" t="str">
        <f aca="false">IF(BN$5=$CL90,"◆","")</f>
        <v/>
      </c>
      <c r="BO90" s="26" t="str">
        <f aca="false">IF(BO$5=$CL90,"◆","")</f>
        <v/>
      </c>
      <c r="BP90" s="26" t="str">
        <f aca="false">IF(BP$5=$CL90,"◆","")</f>
        <v/>
      </c>
      <c r="BQ90" s="26" t="str">
        <f aca="false">IF(BQ$5=$CL90,"◆","")</f>
        <v/>
      </c>
      <c r="BR90" s="26" t="str">
        <f aca="false">IF(BR$5=$CL90,"◆","")</f>
        <v/>
      </c>
      <c r="BS90" s="26" t="str">
        <f aca="false">IF(BS$5=$CL90,"◆","")</f>
        <v/>
      </c>
      <c r="BT90" s="26" t="str">
        <f aca="false">IF(BT$5=$CL90,"◆","")</f>
        <v/>
      </c>
      <c r="BU90" s="26" t="str">
        <f aca="false">IF(BU$5=$CL90,"◆","")</f>
        <v/>
      </c>
      <c r="BV90" s="26" t="str">
        <f aca="false">IF(BV$5=$CL90,"◆","")</f>
        <v/>
      </c>
      <c r="BW90" s="26" t="str">
        <f aca="false">IF(BW$5=$CL90,"◆","")</f>
        <v/>
      </c>
      <c r="BX90" s="26" t="str">
        <f aca="false">IF(BX$5=$CL90,"◆","")</f>
        <v/>
      </c>
      <c r="BY90" s="26" t="str">
        <f aca="false">IF(BY$5=$CL90,"◆","")</f>
        <v/>
      </c>
      <c r="BZ90" s="26" t="str">
        <f aca="false">IF(BZ$5=$CL90,"◆","")</f>
        <v/>
      </c>
      <c r="CA90" s="26" t="str">
        <f aca="false">IF(CA$5=$CL90,"◆","")</f>
        <v>◆</v>
      </c>
      <c r="CB90" s="26" t="str">
        <f aca="false">IF(CB$5=$CL90,"◆","")</f>
        <v/>
      </c>
      <c r="CC90" s="26" t="str">
        <f aca="false">IF(CC$5=$CL90,"◆","")</f>
        <v/>
      </c>
      <c r="CD90" s="26" t="str">
        <f aca="false">IF(CD$5=$CL90,"◆","")</f>
        <v/>
      </c>
      <c r="CE90" s="26" t="str">
        <f aca="false">IF(CE$5=$CL90,"◆","")</f>
        <v/>
      </c>
      <c r="CF90" s="26" t="str">
        <f aca="false">IF(CF$5=$CL90,"◆","")</f>
        <v/>
      </c>
      <c r="CG90" s="26" t="str">
        <f aca="false">IF(CG$5=$CL90,"◆","")</f>
        <v/>
      </c>
      <c r="CH90" s="26" t="str">
        <f aca="false">IF(CH$5=$CL90,"◆","")</f>
        <v/>
      </c>
      <c r="CJ90" s="1" t="s">
        <v>178</v>
      </c>
      <c r="CL90" s="5" t="n">
        <f aca="false">IFERROR(IF(TRIM(C90)="","",IF(ISNUMBER(C90),C90,DATE(2026,MATCH(LEFT(MID(TRIM(C90),FIND(" ",TRIM(C90))+1,9),3),Lists!$A$1:$A$12,0),VALUE(LEFT(TRIM(C90),FIND(" ",TRIM(C90))-1))))),"")</f>
        <v>46351</v>
      </c>
      <c r="CM90" s="5" t="n">
        <f aca="false">CL90</f>
        <v>46351</v>
      </c>
    </row>
    <row r="91" customFormat="false" ht="14.25" hidden="false" customHeight="true" outlineLevel="0" collapsed="false">
      <c r="A91" s="25" t="s">
        <v>186</v>
      </c>
      <c r="B91" s="18"/>
      <c r="C91" s="19" t="s">
        <v>150</v>
      </c>
      <c r="D91" s="20" t="str">
        <f aca="false">IF(CL91="","",DAY(CL91)&amp;" "&amp;INDEX(Lists!$A$1:$A$12,MONTH(CL91)))</f>
        <v>30 Nov</v>
      </c>
      <c r="E91" s="20" t="n">
        <v>0</v>
      </c>
      <c r="F91" s="21" t="s">
        <v>62</v>
      </c>
      <c r="G91" s="26" t="str">
        <f aca="false">IF(G$5=$CL91,"◆","")</f>
        <v/>
      </c>
      <c r="H91" s="26" t="str">
        <f aca="false">IF(H$5=$CL91,"◆","")</f>
        <v/>
      </c>
      <c r="I91" s="26" t="str">
        <f aca="false">IF(I$5=$CL91,"◆","")</f>
        <v/>
      </c>
      <c r="J91" s="26" t="str">
        <f aca="false">IF(J$5=$CL91,"◆","")</f>
        <v/>
      </c>
      <c r="K91" s="26" t="str">
        <f aca="false">IF(K$5=$CL91,"◆","")</f>
        <v/>
      </c>
      <c r="L91" s="26" t="str">
        <f aca="false">IF(L$5=$CL91,"◆","")</f>
        <v/>
      </c>
      <c r="M91" s="26" t="str">
        <f aca="false">IF(M$5=$CL91,"◆","")</f>
        <v/>
      </c>
      <c r="N91" s="26" t="str">
        <f aca="false">IF(N$5=$CL91,"◆","")</f>
        <v/>
      </c>
      <c r="O91" s="26" t="str">
        <f aca="false">IF(O$5=$CL91,"◆","")</f>
        <v/>
      </c>
      <c r="P91" s="26" t="str">
        <f aca="false">IF(P$5=$CL91,"◆","")</f>
        <v/>
      </c>
      <c r="Q91" s="26" t="str">
        <f aca="false">IF(Q$5=$CL91,"◆","")</f>
        <v/>
      </c>
      <c r="R91" s="26" t="str">
        <f aca="false">IF(R$5=$CL91,"◆","")</f>
        <v/>
      </c>
      <c r="S91" s="26" t="str">
        <f aca="false">IF(S$5=$CL91,"◆","")</f>
        <v/>
      </c>
      <c r="T91" s="26" t="str">
        <f aca="false">IF(T$5=$CL91,"◆","")</f>
        <v/>
      </c>
      <c r="U91" s="26" t="str">
        <f aca="false">IF(U$5=$CL91,"◆","")</f>
        <v/>
      </c>
      <c r="V91" s="26" t="str">
        <f aca="false">IF(V$5=$CL91,"◆","")</f>
        <v/>
      </c>
      <c r="W91" s="26" t="str">
        <f aca="false">IF(W$5=$CL91,"◆","")</f>
        <v/>
      </c>
      <c r="X91" s="26" t="str">
        <f aca="false">IF(X$5=$CL91,"◆","")</f>
        <v/>
      </c>
      <c r="Y91" s="26" t="str">
        <f aca="false">IF(Y$5=$CL91,"◆","")</f>
        <v/>
      </c>
      <c r="Z91" s="26" t="str">
        <f aca="false">IF(Z$5=$CL91,"◆","")</f>
        <v/>
      </c>
      <c r="AA91" s="26" t="str">
        <f aca="false">IF(AA$5=$CL91,"◆","")</f>
        <v/>
      </c>
      <c r="AB91" s="26" t="str">
        <f aca="false">IF(AB$5=$CL91,"◆","")</f>
        <v/>
      </c>
      <c r="AC91" s="26" t="str">
        <f aca="false">IF(AC$5=$CL91,"◆","")</f>
        <v/>
      </c>
      <c r="AD91" s="26" t="str">
        <f aca="false">IF(AD$5=$CL91,"◆","")</f>
        <v/>
      </c>
      <c r="AE91" s="26" t="str">
        <f aca="false">IF(AE$5=$CL91,"◆","")</f>
        <v/>
      </c>
      <c r="AF91" s="26" t="str">
        <f aca="false">IF(AF$5=$CL91,"◆","")</f>
        <v/>
      </c>
      <c r="AG91" s="26" t="str">
        <f aca="false">IF(AG$5=$CL91,"◆","")</f>
        <v/>
      </c>
      <c r="AH91" s="26" t="str">
        <f aca="false">IF(AH$5=$CL91,"◆","")</f>
        <v/>
      </c>
      <c r="AI91" s="26" t="str">
        <f aca="false">IF(AI$5=$CL91,"◆","")</f>
        <v/>
      </c>
      <c r="AJ91" s="26" t="str">
        <f aca="false">IF(AJ$5=$CL91,"◆","")</f>
        <v/>
      </c>
      <c r="AK91" s="26" t="str">
        <f aca="false">IF(AK$5=$CL91,"◆","")</f>
        <v/>
      </c>
      <c r="AL91" s="26" t="str">
        <f aca="false">IF(AL$5=$CL91,"◆","")</f>
        <v/>
      </c>
      <c r="AM91" s="26" t="str">
        <f aca="false">IF(AM$5=$CL91,"◆","")</f>
        <v/>
      </c>
      <c r="AN91" s="26" t="str">
        <f aca="false">IF(AN$5=$CL91,"◆","")</f>
        <v/>
      </c>
      <c r="AO91" s="26" t="str">
        <f aca="false">IF(AO$5=$CL91,"◆","")</f>
        <v/>
      </c>
      <c r="AP91" s="26" t="str">
        <f aca="false">IF(AP$5=$CL91,"◆","")</f>
        <v/>
      </c>
      <c r="AQ91" s="26" t="str">
        <f aca="false">IF(AQ$5=$CL91,"◆","")</f>
        <v/>
      </c>
      <c r="AR91" s="26" t="str">
        <f aca="false">IF(AR$5=$CL91,"◆","")</f>
        <v/>
      </c>
      <c r="AS91" s="26" t="str">
        <f aca="false">IF(AS$5=$CL91,"◆","")</f>
        <v/>
      </c>
      <c r="AT91" s="26" t="str">
        <f aca="false">IF(AT$5=$CL91,"◆","")</f>
        <v/>
      </c>
      <c r="AU91" s="26" t="str">
        <f aca="false">IF(AU$5=$CL91,"◆","")</f>
        <v/>
      </c>
      <c r="AV91" s="26" t="str">
        <f aca="false">IF(AV$5=$CL91,"◆","")</f>
        <v/>
      </c>
      <c r="AW91" s="26" t="str">
        <f aca="false">IF(AW$5=$CL91,"◆","")</f>
        <v/>
      </c>
      <c r="AX91" s="26" t="str">
        <f aca="false">IF(AX$5=$CL91,"◆","")</f>
        <v/>
      </c>
      <c r="AY91" s="26" t="str">
        <f aca="false">IF(AY$5=$CL91,"◆","")</f>
        <v/>
      </c>
      <c r="AZ91" s="26" t="str">
        <f aca="false">IF(AZ$5=$CL91,"◆","")</f>
        <v/>
      </c>
      <c r="BA91" s="26" t="str">
        <f aca="false">IF(BA$5=$CL91,"◆","")</f>
        <v/>
      </c>
      <c r="BB91" s="26" t="str">
        <f aca="false">IF(BB$5=$CL91,"◆","")</f>
        <v/>
      </c>
      <c r="BC91" s="26" t="str">
        <f aca="false">IF(BC$5=$CL91,"◆","")</f>
        <v/>
      </c>
      <c r="BD91" s="26" t="str">
        <f aca="false">IF(BD$5=$CL91,"◆","")</f>
        <v/>
      </c>
      <c r="BE91" s="26" t="str">
        <f aca="false">IF(BE$5=$CL91,"◆","")</f>
        <v/>
      </c>
      <c r="BF91" s="26" t="str">
        <f aca="false">IF(BF$5=$CL91,"◆","")</f>
        <v/>
      </c>
      <c r="BG91" s="26" t="str">
        <f aca="false">IF(BG$5=$CL91,"◆","")</f>
        <v/>
      </c>
      <c r="BH91" s="26" t="str">
        <f aca="false">IF(BH$5=$CL91,"◆","")</f>
        <v/>
      </c>
      <c r="BI91" s="26" t="str">
        <f aca="false">IF(BI$5=$CL91,"◆","")</f>
        <v/>
      </c>
      <c r="BJ91" s="26" t="str">
        <f aca="false">IF(BJ$5=$CL91,"◆","")</f>
        <v/>
      </c>
      <c r="BK91" s="26" t="str">
        <f aca="false">IF(BK$5=$CL91,"◆","")</f>
        <v/>
      </c>
      <c r="BL91" s="26" t="str">
        <f aca="false">IF(BL$5=$CL91,"◆","")</f>
        <v/>
      </c>
      <c r="BM91" s="26" t="str">
        <f aca="false">IF(BM$5=$CL91,"◆","")</f>
        <v/>
      </c>
      <c r="BN91" s="26" t="str">
        <f aca="false">IF(BN$5=$CL91,"◆","")</f>
        <v/>
      </c>
      <c r="BO91" s="26" t="str">
        <f aca="false">IF(BO$5=$CL91,"◆","")</f>
        <v/>
      </c>
      <c r="BP91" s="26" t="str">
        <f aca="false">IF(BP$5=$CL91,"◆","")</f>
        <v/>
      </c>
      <c r="BQ91" s="26" t="str">
        <f aca="false">IF(BQ$5=$CL91,"◆","")</f>
        <v/>
      </c>
      <c r="BR91" s="26" t="str">
        <f aca="false">IF(BR$5=$CL91,"◆","")</f>
        <v/>
      </c>
      <c r="BS91" s="26" t="str">
        <f aca="false">IF(BS$5=$CL91,"◆","")</f>
        <v/>
      </c>
      <c r="BT91" s="26" t="str">
        <f aca="false">IF(BT$5=$CL91,"◆","")</f>
        <v/>
      </c>
      <c r="BU91" s="26" t="str">
        <f aca="false">IF(BU$5=$CL91,"◆","")</f>
        <v/>
      </c>
      <c r="BV91" s="26" t="str">
        <f aca="false">IF(BV$5=$CL91,"◆","")</f>
        <v/>
      </c>
      <c r="BW91" s="26" t="str">
        <f aca="false">IF(BW$5=$CL91,"◆","")</f>
        <v/>
      </c>
      <c r="BX91" s="26" t="str">
        <f aca="false">IF(BX$5=$CL91,"◆","")</f>
        <v/>
      </c>
      <c r="BY91" s="26" t="str">
        <f aca="false">IF(BY$5=$CL91,"◆","")</f>
        <v/>
      </c>
      <c r="BZ91" s="26" t="str">
        <f aca="false">IF(BZ$5=$CL91,"◆","")</f>
        <v/>
      </c>
      <c r="CA91" s="26" t="str">
        <f aca="false">IF(CA$5=$CL91,"◆","")</f>
        <v/>
      </c>
      <c r="CB91" s="26" t="str">
        <f aca="false">IF(CB$5=$CL91,"◆","")</f>
        <v/>
      </c>
      <c r="CC91" s="26" t="str">
        <f aca="false">IF(CC$5=$CL91,"◆","")</f>
        <v/>
      </c>
      <c r="CD91" s="26" t="str">
        <f aca="false">IF(CD$5=$CL91,"◆","")</f>
        <v/>
      </c>
      <c r="CE91" s="26" t="str">
        <f aca="false">IF(CE$5=$CL91,"◆","")</f>
        <v/>
      </c>
      <c r="CF91" s="26" t="str">
        <f aca="false">IF(CF$5=$CL91,"◆","")</f>
        <v>◆</v>
      </c>
      <c r="CG91" s="26" t="str">
        <f aca="false">IF(CG$5=$CL91,"◆","")</f>
        <v/>
      </c>
      <c r="CH91" s="26" t="str">
        <f aca="false">IF(CH$5=$CL91,"◆","")</f>
        <v/>
      </c>
      <c r="CJ91" s="1" t="s">
        <v>178</v>
      </c>
      <c r="CL91" s="5" t="n">
        <f aca="false">IFERROR(IF(TRIM(C91)="","",IF(ISNUMBER(C91),C91,DATE(2026,MATCH(LEFT(MID(TRIM(C91),FIND(" ",TRIM(C91))+1,9),3),Lists!$A$1:$A$12,0),VALUE(LEFT(TRIM(C91),FIND(" ",TRIM(C91))-1))))),"")</f>
        <v>46356</v>
      </c>
      <c r="CM91" s="5" t="n">
        <f aca="false">CL91</f>
        <v>46356</v>
      </c>
    </row>
    <row r="92" customFormat="false" ht="14.25" hidden="false" customHeight="true" outlineLevel="0" collapsed="false">
      <c r="A92" s="25" t="s">
        <v>187</v>
      </c>
      <c r="B92" s="18"/>
      <c r="C92" s="19" t="s">
        <v>188</v>
      </c>
      <c r="D92" s="20" t="str">
        <f aca="false">IF(CL92="","",DAY(CL92)&amp;" "&amp;INDEX(Lists!$A$1:$A$12,MONTH(CL92)))</f>
        <v>2 Dec</v>
      </c>
      <c r="E92" s="20" t="n">
        <v>0</v>
      </c>
      <c r="F92" s="21" t="s">
        <v>62</v>
      </c>
      <c r="G92" s="26" t="str">
        <f aca="false">IF(G$5=$CL92,"◆","")</f>
        <v/>
      </c>
      <c r="H92" s="26" t="str">
        <f aca="false">IF(H$5=$CL92,"◆","")</f>
        <v/>
      </c>
      <c r="I92" s="26" t="str">
        <f aca="false">IF(I$5=$CL92,"◆","")</f>
        <v/>
      </c>
      <c r="J92" s="26" t="str">
        <f aca="false">IF(J$5=$CL92,"◆","")</f>
        <v/>
      </c>
      <c r="K92" s="26" t="str">
        <f aca="false">IF(K$5=$CL92,"◆","")</f>
        <v/>
      </c>
      <c r="L92" s="26" t="str">
        <f aca="false">IF(L$5=$CL92,"◆","")</f>
        <v/>
      </c>
      <c r="M92" s="26" t="str">
        <f aca="false">IF(M$5=$CL92,"◆","")</f>
        <v/>
      </c>
      <c r="N92" s="26" t="str">
        <f aca="false">IF(N$5=$CL92,"◆","")</f>
        <v/>
      </c>
      <c r="O92" s="26" t="str">
        <f aca="false">IF(O$5=$CL92,"◆","")</f>
        <v/>
      </c>
      <c r="P92" s="26" t="str">
        <f aca="false">IF(P$5=$CL92,"◆","")</f>
        <v/>
      </c>
      <c r="Q92" s="26" t="str">
        <f aca="false">IF(Q$5=$CL92,"◆","")</f>
        <v/>
      </c>
      <c r="R92" s="26" t="str">
        <f aca="false">IF(R$5=$CL92,"◆","")</f>
        <v/>
      </c>
      <c r="S92" s="26" t="str">
        <f aca="false">IF(S$5=$CL92,"◆","")</f>
        <v/>
      </c>
      <c r="T92" s="26" t="str">
        <f aca="false">IF(T$5=$CL92,"◆","")</f>
        <v/>
      </c>
      <c r="U92" s="26" t="str">
        <f aca="false">IF(U$5=$CL92,"◆","")</f>
        <v/>
      </c>
      <c r="V92" s="26" t="str">
        <f aca="false">IF(V$5=$CL92,"◆","")</f>
        <v/>
      </c>
      <c r="W92" s="26" t="str">
        <f aca="false">IF(W$5=$CL92,"◆","")</f>
        <v/>
      </c>
      <c r="X92" s="26" t="str">
        <f aca="false">IF(X$5=$CL92,"◆","")</f>
        <v/>
      </c>
      <c r="Y92" s="26" t="str">
        <f aca="false">IF(Y$5=$CL92,"◆","")</f>
        <v/>
      </c>
      <c r="Z92" s="26" t="str">
        <f aca="false">IF(Z$5=$CL92,"◆","")</f>
        <v/>
      </c>
      <c r="AA92" s="26" t="str">
        <f aca="false">IF(AA$5=$CL92,"◆","")</f>
        <v/>
      </c>
      <c r="AB92" s="26" t="str">
        <f aca="false">IF(AB$5=$CL92,"◆","")</f>
        <v/>
      </c>
      <c r="AC92" s="26" t="str">
        <f aca="false">IF(AC$5=$CL92,"◆","")</f>
        <v/>
      </c>
      <c r="AD92" s="26" t="str">
        <f aca="false">IF(AD$5=$CL92,"◆","")</f>
        <v/>
      </c>
      <c r="AE92" s="26" t="str">
        <f aca="false">IF(AE$5=$CL92,"◆","")</f>
        <v/>
      </c>
      <c r="AF92" s="26" t="str">
        <f aca="false">IF(AF$5=$CL92,"◆","")</f>
        <v/>
      </c>
      <c r="AG92" s="26" t="str">
        <f aca="false">IF(AG$5=$CL92,"◆","")</f>
        <v/>
      </c>
      <c r="AH92" s="26" t="str">
        <f aca="false">IF(AH$5=$CL92,"◆","")</f>
        <v/>
      </c>
      <c r="AI92" s="26" t="str">
        <f aca="false">IF(AI$5=$CL92,"◆","")</f>
        <v/>
      </c>
      <c r="AJ92" s="26" t="str">
        <f aca="false">IF(AJ$5=$CL92,"◆","")</f>
        <v/>
      </c>
      <c r="AK92" s="26" t="str">
        <f aca="false">IF(AK$5=$CL92,"◆","")</f>
        <v/>
      </c>
      <c r="AL92" s="26" t="str">
        <f aca="false">IF(AL$5=$CL92,"◆","")</f>
        <v/>
      </c>
      <c r="AM92" s="26" t="str">
        <f aca="false">IF(AM$5=$CL92,"◆","")</f>
        <v/>
      </c>
      <c r="AN92" s="26" t="str">
        <f aca="false">IF(AN$5=$CL92,"◆","")</f>
        <v/>
      </c>
      <c r="AO92" s="26" t="str">
        <f aca="false">IF(AO$5=$CL92,"◆","")</f>
        <v/>
      </c>
      <c r="AP92" s="26" t="str">
        <f aca="false">IF(AP$5=$CL92,"◆","")</f>
        <v/>
      </c>
      <c r="AQ92" s="26" t="str">
        <f aca="false">IF(AQ$5=$CL92,"◆","")</f>
        <v/>
      </c>
      <c r="AR92" s="26" t="str">
        <f aca="false">IF(AR$5=$CL92,"◆","")</f>
        <v/>
      </c>
      <c r="AS92" s="26" t="str">
        <f aca="false">IF(AS$5=$CL92,"◆","")</f>
        <v/>
      </c>
      <c r="AT92" s="26" t="str">
        <f aca="false">IF(AT$5=$CL92,"◆","")</f>
        <v/>
      </c>
      <c r="AU92" s="26" t="str">
        <f aca="false">IF(AU$5=$CL92,"◆","")</f>
        <v/>
      </c>
      <c r="AV92" s="26" t="str">
        <f aca="false">IF(AV$5=$CL92,"◆","")</f>
        <v/>
      </c>
      <c r="AW92" s="26" t="str">
        <f aca="false">IF(AW$5=$CL92,"◆","")</f>
        <v/>
      </c>
      <c r="AX92" s="26" t="str">
        <f aca="false">IF(AX$5=$CL92,"◆","")</f>
        <v/>
      </c>
      <c r="AY92" s="26" t="str">
        <f aca="false">IF(AY$5=$CL92,"◆","")</f>
        <v/>
      </c>
      <c r="AZ92" s="26" t="str">
        <f aca="false">IF(AZ$5=$CL92,"◆","")</f>
        <v/>
      </c>
      <c r="BA92" s="26" t="str">
        <f aca="false">IF(BA$5=$CL92,"◆","")</f>
        <v/>
      </c>
      <c r="BB92" s="26" t="str">
        <f aca="false">IF(BB$5=$CL92,"◆","")</f>
        <v/>
      </c>
      <c r="BC92" s="26" t="str">
        <f aca="false">IF(BC$5=$CL92,"◆","")</f>
        <v/>
      </c>
      <c r="BD92" s="26" t="str">
        <f aca="false">IF(BD$5=$CL92,"◆","")</f>
        <v/>
      </c>
      <c r="BE92" s="26" t="str">
        <f aca="false">IF(BE$5=$CL92,"◆","")</f>
        <v/>
      </c>
      <c r="BF92" s="26" t="str">
        <f aca="false">IF(BF$5=$CL92,"◆","")</f>
        <v/>
      </c>
      <c r="BG92" s="26" t="str">
        <f aca="false">IF(BG$5=$CL92,"◆","")</f>
        <v/>
      </c>
      <c r="BH92" s="26" t="str">
        <f aca="false">IF(BH$5=$CL92,"◆","")</f>
        <v/>
      </c>
      <c r="BI92" s="26" t="str">
        <f aca="false">IF(BI$5=$CL92,"◆","")</f>
        <v/>
      </c>
      <c r="BJ92" s="26" t="str">
        <f aca="false">IF(BJ$5=$CL92,"◆","")</f>
        <v/>
      </c>
      <c r="BK92" s="26" t="str">
        <f aca="false">IF(BK$5=$CL92,"◆","")</f>
        <v/>
      </c>
      <c r="BL92" s="26" t="str">
        <f aca="false">IF(BL$5=$CL92,"◆","")</f>
        <v/>
      </c>
      <c r="BM92" s="26" t="str">
        <f aca="false">IF(BM$5=$CL92,"◆","")</f>
        <v/>
      </c>
      <c r="BN92" s="26" t="str">
        <f aca="false">IF(BN$5=$CL92,"◆","")</f>
        <v/>
      </c>
      <c r="BO92" s="26" t="str">
        <f aca="false">IF(BO$5=$CL92,"◆","")</f>
        <v/>
      </c>
      <c r="BP92" s="26" t="str">
        <f aca="false">IF(BP$5=$CL92,"◆","")</f>
        <v/>
      </c>
      <c r="BQ92" s="26" t="str">
        <f aca="false">IF(BQ$5=$CL92,"◆","")</f>
        <v/>
      </c>
      <c r="BR92" s="26" t="str">
        <f aca="false">IF(BR$5=$CL92,"◆","")</f>
        <v/>
      </c>
      <c r="BS92" s="26" t="str">
        <f aca="false">IF(BS$5=$CL92,"◆","")</f>
        <v/>
      </c>
      <c r="BT92" s="26" t="str">
        <f aca="false">IF(BT$5=$CL92,"◆","")</f>
        <v/>
      </c>
      <c r="BU92" s="26" t="str">
        <f aca="false">IF(BU$5=$CL92,"◆","")</f>
        <v/>
      </c>
      <c r="BV92" s="26" t="str">
        <f aca="false">IF(BV$5=$CL92,"◆","")</f>
        <v/>
      </c>
      <c r="BW92" s="26" t="str">
        <f aca="false">IF(BW$5=$CL92,"◆","")</f>
        <v/>
      </c>
      <c r="BX92" s="26" t="str">
        <f aca="false">IF(BX$5=$CL92,"◆","")</f>
        <v/>
      </c>
      <c r="BY92" s="26" t="str">
        <f aca="false">IF(BY$5=$CL92,"◆","")</f>
        <v/>
      </c>
      <c r="BZ92" s="26" t="str">
        <f aca="false">IF(BZ$5=$CL92,"◆","")</f>
        <v/>
      </c>
      <c r="CA92" s="26" t="str">
        <f aca="false">IF(CA$5=$CL92,"◆","")</f>
        <v/>
      </c>
      <c r="CB92" s="26" t="str">
        <f aca="false">IF(CB$5=$CL92,"◆","")</f>
        <v/>
      </c>
      <c r="CC92" s="26" t="str">
        <f aca="false">IF(CC$5=$CL92,"◆","")</f>
        <v/>
      </c>
      <c r="CD92" s="26" t="str">
        <f aca="false">IF(CD$5=$CL92,"◆","")</f>
        <v/>
      </c>
      <c r="CE92" s="26" t="str">
        <f aca="false">IF(CE$5=$CL92,"◆","")</f>
        <v/>
      </c>
      <c r="CF92" s="26" t="str">
        <f aca="false">IF(CF$5=$CL92,"◆","")</f>
        <v/>
      </c>
      <c r="CG92" s="26" t="str">
        <f aca="false">IF(CG$5=$CL92,"◆","")</f>
        <v/>
      </c>
      <c r="CH92" s="26" t="str">
        <f aca="false">IF(CH$5=$CL92,"◆","")</f>
        <v>◆</v>
      </c>
      <c r="CJ92" s="1" t="s">
        <v>178</v>
      </c>
      <c r="CL92" s="5" t="n">
        <f aca="false">IFERROR(IF(TRIM(C92)="","",IF(ISNUMBER(C92),C92,DATE(2026,MATCH(LEFT(MID(TRIM(C92),FIND(" ",TRIM(C92))+1,9),3),Lists!$A$1:$A$12,0),VALUE(LEFT(TRIM(C92),FIND(" ",TRIM(C92))-1))))),"")</f>
        <v>46358</v>
      </c>
      <c r="CM92" s="5" t="n">
        <f aca="false">CL92</f>
        <v>46358</v>
      </c>
    </row>
    <row r="94" customFormat="false" ht="15" hidden="false" customHeight="true" outlineLevel="0" collapsed="false">
      <c r="A94" s="27" t="s">
        <v>189</v>
      </c>
    </row>
    <row r="95" customFormat="false" ht="15" hidden="false" customHeight="true" outlineLevel="0" collapsed="false">
      <c r="A95" s="28" t="s">
        <v>190</v>
      </c>
      <c r="B95" s="29"/>
    </row>
    <row r="96" customFormat="false" ht="15" hidden="false" customHeight="true" outlineLevel="0" collapsed="false">
      <c r="A96" s="28" t="s">
        <v>37</v>
      </c>
      <c r="B96" s="30"/>
    </row>
    <row r="97" customFormat="false" ht="15" hidden="false" customHeight="true" outlineLevel="0" collapsed="false">
      <c r="A97" s="28" t="s">
        <v>105</v>
      </c>
      <c r="B97" s="31"/>
    </row>
    <row r="98" customFormat="false" ht="15" hidden="false" customHeight="true" outlineLevel="0" collapsed="false">
      <c r="A98" s="28" t="s">
        <v>191</v>
      </c>
      <c r="B98" s="32"/>
    </row>
    <row r="99" customFormat="false" ht="15" hidden="false" customHeight="true" outlineLevel="0" collapsed="false">
      <c r="A99" s="28" t="s">
        <v>192</v>
      </c>
      <c r="B99" s="33"/>
    </row>
    <row r="100" customFormat="false" ht="15" hidden="false" customHeight="true" outlineLevel="0" collapsed="false">
      <c r="A100" s="28" t="s">
        <v>178</v>
      </c>
      <c r="B100" s="34"/>
    </row>
    <row r="101" customFormat="false" ht="15" hidden="false" customHeight="true" outlineLevel="0" collapsed="false">
      <c r="A101" s="28" t="s">
        <v>193</v>
      </c>
      <c r="B101" s="35"/>
    </row>
  </sheetData>
  <mergeCells count="23">
    <mergeCell ref="A1:F1"/>
    <mergeCell ref="A6:A9"/>
    <mergeCell ref="B6:B9"/>
    <mergeCell ref="C6:C9"/>
    <mergeCell ref="D6:D9"/>
    <mergeCell ref="E6:E9"/>
    <mergeCell ref="F6:F9"/>
    <mergeCell ref="G6:W6"/>
    <mergeCell ref="X6:BB6"/>
    <mergeCell ref="BC6:CF6"/>
    <mergeCell ref="CG6:CH6"/>
    <mergeCell ref="G7:M7"/>
    <mergeCell ref="N7:T7"/>
    <mergeCell ref="U7:AA7"/>
    <mergeCell ref="AB7:AH7"/>
    <mergeCell ref="AI7:AO7"/>
    <mergeCell ref="AP7:AV7"/>
    <mergeCell ref="AW7:BC7"/>
    <mergeCell ref="BD7:BJ7"/>
    <mergeCell ref="BK7:BQ7"/>
    <mergeCell ref="BR7:BX7"/>
    <mergeCell ref="BY7:CE7"/>
    <mergeCell ref="CF7:CH7"/>
  </mergeCells>
  <conditionalFormatting sqref="G10:CH92">
    <cfRule type="expression" priority="2" aboveAverage="0" equalAverage="0" bottom="0" percent="0" rank="0" text="" dxfId="0">
      <formula>AND(AND($CL10&lt;&gt;"",G$5&gt;=$CL10,G$5&lt;=$CM10),$CJ10="Milestone")</formula>
    </cfRule>
    <cfRule type="expression" priority="3" aboveAverage="0" equalAverage="0" bottom="0" percent="0" rank="0" text="" dxfId="1">
      <formula>AND(AND($CL10&lt;&gt;"",G$5&gt;=$CL10,G$5&lt;=$CM10),$CJ10="Heading")</formula>
    </cfRule>
    <cfRule type="expression" priority="4" aboveAverage="0" equalAverage="0" bottom="0" percent="0" rank="0" text="" dxfId="2">
      <formula>AND(AND($CL10&lt;&gt;"",G$5&gt;=$CL10,G$5&lt;=$CM10),$F10="Dropped")</formula>
    </cfRule>
    <cfRule type="expression" priority="5" aboveAverage="0" equalAverage="0" bottom="0" percent="0" rank="0" text="" dxfId="3">
      <formula>AND(AND($CL10&lt;&gt;"",G$5&gt;=$CL10,G$5&lt;=$CM10),$F10="Done")</formula>
    </cfRule>
    <cfRule type="expression" priority="6" aboveAverage="0" equalAverage="0" bottom="0" percent="0" rank="0" text="" dxfId="4">
      <formula>AND(AND($CL10&lt;&gt;"",G$5&gt;=$CL10,G$5&lt;=$CM10),$F10="In progress")</formula>
    </cfRule>
    <cfRule type="expression" priority="7" aboveAverage="0" equalAverage="0" bottom="0" percent="0" rank="0" text="" dxfId="5">
      <formula>AND(AND($CL10&lt;&gt;"",G$5&gt;=$CL10,G$5&lt;=$CM10),$CK10="Yes")</formula>
    </cfRule>
    <cfRule type="expression" priority="8" aboveAverage="0" equalAverage="0" bottom="0" percent="0" rank="0" text="" dxfId="6">
      <formula>AND(AND($CL10&lt;&gt;"",G$5&gt;=$CL10,G$5&lt;=$CM10),$CJ10="Task")</formula>
    </cfRule>
    <cfRule type="expression" priority="9" aboveAverage="0" equalAverage="0" bottom="0" percent="0" rank="0" text="" dxfId="7">
      <formula>WEEKDAY(G$5,2)&gt;5</formula>
    </cfRule>
    <cfRule type="expression" priority="10" aboveAverage="0" equalAverage="0" bottom="0" percent="0" rank="0" text="" dxfId="8">
      <formula>$CJ10="Heading"</formula>
    </cfRule>
    <cfRule type="expression" priority="11" aboveAverage="0" equalAverage="0" bottom="0" percent="0" rank="0" text="" dxfId="8">
      <formula>$CJ10="Heading2"</formula>
    </cfRule>
  </conditionalFormatting>
  <conditionalFormatting sqref="F10:F92">
    <cfRule type="expression" priority="12" aboveAverage="0" equalAverage="0" bottom="0" percent="0" rank="0" text="" dxfId="9">
      <formula>$F10="Done"</formula>
    </cfRule>
    <cfRule type="expression" priority="13" aboveAverage="0" equalAverage="0" bottom="0" percent="0" rank="0" text="" dxfId="10">
      <formula>$F10="In progress"</formula>
    </cfRule>
  </conditionalFormatting>
  <conditionalFormatting sqref="A6:F9">
    <cfRule type="expression" priority="14" aboveAverage="0" equalAverage="0" bottom="0" percent="0" rank="0" text="" dxfId="11">
      <formula>1</formula>
    </cfRule>
  </conditionalFormatting>
  <conditionalFormatting sqref="G6:CH6">
    <cfRule type="expression" priority="15" aboveAverage="0" equalAverage="0" bottom="0" percent="0" rank="0" text="" dxfId="12">
      <formula>1</formula>
    </cfRule>
  </conditionalFormatting>
  <conditionalFormatting sqref="G7:CH7">
    <cfRule type="expression" priority="16" aboveAverage="0" equalAverage="0" bottom="0" percent="0" rank="0" text="" dxfId="13">
      <formula>1</formula>
    </cfRule>
  </conditionalFormatting>
  <conditionalFormatting sqref="G8:CH9">
    <cfRule type="expression" priority="17" aboveAverage="0" equalAverage="0" bottom="0" percent="0" rank="0" text="" dxfId="14">
      <formula>WEEKDAY(G$5,2)&gt;5</formula>
    </cfRule>
    <cfRule type="expression" priority="18" aboveAverage="0" equalAverage="0" bottom="0" percent="0" rank="0" text="" dxfId="15">
      <formula>1</formula>
    </cfRule>
  </conditionalFormatting>
  <conditionalFormatting sqref="A10:F92">
    <cfRule type="expression" priority="19" aboveAverage="0" equalAverage="0" bottom="0" percent="0" rank="0" text="" dxfId="8">
      <formula>OR($CJ10="Heading",$CJ10="Heading2")</formula>
    </cfRule>
  </conditionalFormatting>
  <conditionalFormatting sqref="B95">
    <cfRule type="expression" priority="20" aboveAverage="0" equalAverage="0" bottom="0" percent="0" rank="0" text="" dxfId="1">
      <formula>1</formula>
    </cfRule>
  </conditionalFormatting>
  <conditionalFormatting sqref="B96">
    <cfRule type="expression" priority="21" aboveAverage="0" equalAverage="0" bottom="0" percent="0" rank="0" text="" dxfId="3">
      <formula>1</formula>
    </cfRule>
  </conditionalFormatting>
  <conditionalFormatting sqref="B97">
    <cfRule type="expression" priority="22" aboveAverage="0" equalAverage="0" bottom="0" percent="0" rank="0" text="" dxfId="4">
      <formula>1</formula>
    </cfRule>
  </conditionalFormatting>
  <conditionalFormatting sqref="B98">
    <cfRule type="expression" priority="23" aboveAverage="0" equalAverage="0" bottom="0" percent="0" rank="0" text="" dxfId="6">
      <formula>1</formula>
    </cfRule>
  </conditionalFormatting>
  <conditionalFormatting sqref="B99">
    <cfRule type="expression" priority="24" aboveAverage="0" equalAverage="0" bottom="0" percent="0" rank="0" text="" dxfId="5">
      <formula>1</formula>
    </cfRule>
  </conditionalFormatting>
  <conditionalFormatting sqref="B100">
    <cfRule type="expression" priority="25" aboveAverage="0" equalAverage="0" bottom="0" percent="0" rank="0" text="" dxfId="0">
      <formula>1</formula>
    </cfRule>
  </conditionalFormatting>
  <conditionalFormatting sqref="B101">
    <cfRule type="expression" priority="26" aboveAverage="0" equalAverage="0" bottom="0" percent="0" rank="0" text="" dxfId="7">
      <formula>1</formula>
    </cfRule>
  </conditionalFormatting>
  <dataValidations count="1">
    <dataValidation allowBlank="true" errorStyle="stop" operator="between" showDropDown="false" showErrorMessage="false" showInputMessage="false" sqref="F11:F13 F15:F16 F18:F21 F23:F24 F26:F27 F29:F34 F36:F37 F39:F41 F43:F47 F49:F52 F54:F55 F57:F64 F66:F67 F69:F71 F73:F76 F78:F80 F82 F84:F92" type="list">
      <formula1>"Not started,In progress,Done,Dropped"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>
    <row r="1" customFormat="false" ht="15" hidden="false" customHeight="true" outlineLevel="0" collapsed="false">
      <c r="A1" s="1" t="s">
        <v>194</v>
      </c>
    </row>
    <row r="2" customFormat="false" ht="15" hidden="false" customHeight="true" outlineLevel="0" collapsed="false">
      <c r="A2" s="1" t="s">
        <v>195</v>
      </c>
    </row>
    <row r="3" customFormat="false" ht="15" hidden="false" customHeight="true" outlineLevel="0" collapsed="false">
      <c r="A3" s="1" t="s">
        <v>196</v>
      </c>
    </row>
    <row r="4" customFormat="false" ht="15" hidden="false" customHeight="true" outlineLevel="0" collapsed="false">
      <c r="A4" s="1" t="s">
        <v>197</v>
      </c>
    </row>
    <row r="5" customFormat="false" ht="15" hidden="false" customHeight="true" outlineLevel="0" collapsed="false">
      <c r="A5" s="1" t="s">
        <v>198</v>
      </c>
    </row>
    <row r="6" customFormat="false" ht="15" hidden="false" customHeight="true" outlineLevel="0" collapsed="false">
      <c r="A6" s="1" t="s">
        <v>199</v>
      </c>
    </row>
    <row r="7" customFormat="false" ht="15" hidden="false" customHeight="true" outlineLevel="0" collapsed="false">
      <c r="A7" s="1" t="s">
        <v>200</v>
      </c>
    </row>
    <row r="8" customFormat="false" ht="15" hidden="false" customHeight="true" outlineLevel="0" collapsed="false">
      <c r="A8" s="1" t="s">
        <v>201</v>
      </c>
    </row>
    <row r="9" customFormat="false" ht="15" hidden="false" customHeight="true" outlineLevel="0" collapsed="false">
      <c r="A9" s="1" t="s">
        <v>202</v>
      </c>
    </row>
    <row r="10" customFormat="false" ht="15" hidden="false" customHeight="true" outlineLevel="0" collapsed="false">
      <c r="A10" s="1" t="s">
        <v>203</v>
      </c>
    </row>
    <row r="11" customFormat="false" ht="15" hidden="false" customHeight="true" outlineLevel="0" collapsed="false">
      <c r="A11" s="1" t="s">
        <v>204</v>
      </c>
    </row>
    <row r="12" customFormat="false" ht="15" hidden="false" customHeight="true" outlineLevel="0" collapsed="false">
      <c r="A12" s="1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85"/>
  </cols>
  <sheetData>
    <row r="1" customFormat="false" ht="16.5" hidden="false" customHeight="true" outlineLevel="0" collapsed="false">
      <c r="A1" s="36" t="s">
        <v>205</v>
      </c>
    </row>
    <row r="2" customFormat="false" ht="15" hidden="false" customHeight="true" outlineLevel="0" collapsed="false">
      <c r="A2" s="37" t="s">
        <v>206</v>
      </c>
    </row>
    <row r="4" customFormat="false" ht="15" hidden="false" customHeight="true" outlineLevel="0" collapsed="false">
      <c r="A4" s="38" t="s">
        <v>207</v>
      </c>
      <c r="B4" s="38" t="s">
        <v>208</v>
      </c>
      <c r="C4" s="38" t="s">
        <v>209</v>
      </c>
      <c r="D4" s="38" t="s">
        <v>210</v>
      </c>
      <c r="E4" s="38" t="s">
        <v>211</v>
      </c>
    </row>
    <row r="5" customFormat="false" ht="25.5" hidden="false" customHeight="true" outlineLevel="0" collapsed="false">
      <c r="A5" s="39" t="s">
        <v>212</v>
      </c>
      <c r="B5" s="40" t="s">
        <v>213</v>
      </c>
      <c r="C5" s="40" t="s">
        <v>214</v>
      </c>
      <c r="D5" s="40" t="s">
        <v>37</v>
      </c>
      <c r="E5" s="39" t="s">
        <v>215</v>
      </c>
    </row>
    <row r="6" customFormat="false" ht="15" hidden="false" customHeight="true" outlineLevel="0" collapsed="false">
      <c r="A6" s="39" t="s">
        <v>216</v>
      </c>
      <c r="B6" s="40" t="s">
        <v>217</v>
      </c>
      <c r="C6" s="40" t="s">
        <v>218</v>
      </c>
      <c r="D6" s="40" t="s">
        <v>37</v>
      </c>
      <c r="E6" s="39" t="s">
        <v>219</v>
      </c>
    </row>
    <row r="7" customFormat="false" ht="25.5" hidden="false" customHeight="true" outlineLevel="0" collapsed="false">
      <c r="A7" s="39" t="s">
        <v>220</v>
      </c>
      <c r="B7" s="40" t="s">
        <v>221</v>
      </c>
      <c r="C7" s="40" t="s">
        <v>222</v>
      </c>
      <c r="D7" s="40" t="s">
        <v>105</v>
      </c>
      <c r="E7" s="39" t="s">
        <v>223</v>
      </c>
    </row>
    <row r="8" customFormat="false" ht="25.5" hidden="false" customHeight="true" outlineLevel="0" collapsed="false">
      <c r="A8" s="39" t="s">
        <v>224</v>
      </c>
      <c r="B8" s="40" t="s">
        <v>225</v>
      </c>
      <c r="C8" s="40" t="s">
        <v>226</v>
      </c>
      <c r="D8" s="40" t="s">
        <v>37</v>
      </c>
      <c r="E8" s="39" t="s">
        <v>227</v>
      </c>
    </row>
    <row r="9" customFormat="false" ht="25.5" hidden="false" customHeight="true" outlineLevel="0" collapsed="false">
      <c r="A9" s="39" t="s">
        <v>228</v>
      </c>
      <c r="B9" s="40" t="s">
        <v>229</v>
      </c>
      <c r="C9" s="40" t="s">
        <v>230</v>
      </c>
      <c r="D9" s="40" t="s">
        <v>37</v>
      </c>
      <c r="E9" s="39" t="s">
        <v>231</v>
      </c>
    </row>
    <row r="10" customFormat="false" ht="25.5" hidden="false" customHeight="true" outlineLevel="0" collapsed="false">
      <c r="A10" s="39" t="s">
        <v>232</v>
      </c>
      <c r="B10" s="40" t="s">
        <v>233</v>
      </c>
      <c r="C10" s="40" t="s">
        <v>234</v>
      </c>
      <c r="D10" s="40" t="s">
        <v>37</v>
      </c>
      <c r="E10" s="39" t="s">
        <v>235</v>
      </c>
    </row>
    <row r="11" customFormat="false" ht="25.5" hidden="false" customHeight="true" outlineLevel="0" collapsed="false">
      <c r="A11" s="39" t="s">
        <v>236</v>
      </c>
      <c r="B11" s="40" t="s">
        <v>237</v>
      </c>
      <c r="C11" s="40" t="s">
        <v>238</v>
      </c>
      <c r="D11" s="40" t="s">
        <v>105</v>
      </c>
      <c r="E11" s="39" t="s">
        <v>239</v>
      </c>
    </row>
    <row r="12" customFormat="false" ht="25.5" hidden="false" customHeight="true" outlineLevel="0" collapsed="false">
      <c r="A12" s="39" t="s">
        <v>240</v>
      </c>
      <c r="B12" s="40" t="s">
        <v>241</v>
      </c>
      <c r="C12" s="40" t="s">
        <v>242</v>
      </c>
      <c r="D12" s="40" t="s">
        <v>105</v>
      </c>
      <c r="E12" s="39" t="s">
        <v>243</v>
      </c>
    </row>
    <row r="13" customFormat="false" ht="25.5" hidden="false" customHeight="true" outlineLevel="0" collapsed="false">
      <c r="A13" s="39" t="s">
        <v>244</v>
      </c>
      <c r="B13" s="40" t="s">
        <v>245</v>
      </c>
      <c r="C13" s="40" t="s">
        <v>246</v>
      </c>
      <c r="D13" s="40" t="s">
        <v>105</v>
      </c>
      <c r="E13" s="39" t="s">
        <v>247</v>
      </c>
    </row>
    <row r="14" customFormat="false" ht="25.5" hidden="false" customHeight="true" outlineLevel="0" collapsed="false">
      <c r="A14" s="39" t="s">
        <v>248</v>
      </c>
      <c r="B14" s="40" t="s">
        <v>249</v>
      </c>
      <c r="C14" s="40" t="s">
        <v>250</v>
      </c>
      <c r="D14" s="40" t="s">
        <v>105</v>
      </c>
      <c r="E14" s="39" t="s">
        <v>251</v>
      </c>
    </row>
    <row r="15" customFormat="false" ht="25.5" hidden="false" customHeight="true" outlineLevel="0" collapsed="false">
      <c r="A15" s="39" t="s">
        <v>252</v>
      </c>
      <c r="B15" s="40" t="s">
        <v>253</v>
      </c>
      <c r="C15" s="40" t="s">
        <v>254</v>
      </c>
      <c r="D15" s="40" t="s">
        <v>105</v>
      </c>
      <c r="E15" s="39" t="s">
        <v>255</v>
      </c>
    </row>
    <row r="16" customFormat="false" ht="25.5" hidden="false" customHeight="true" outlineLevel="0" collapsed="false">
      <c r="A16" s="39" t="s">
        <v>256</v>
      </c>
      <c r="B16" s="40" t="s">
        <v>257</v>
      </c>
      <c r="C16" s="40" t="s">
        <v>258</v>
      </c>
      <c r="D16" s="40" t="s">
        <v>105</v>
      </c>
      <c r="E16" s="39" t="s">
        <v>259</v>
      </c>
    </row>
    <row r="17" customFormat="false" ht="15" hidden="false" customHeight="true" outlineLevel="0" collapsed="false">
      <c r="A17" s="39" t="s">
        <v>260</v>
      </c>
      <c r="B17" s="40" t="s">
        <v>147</v>
      </c>
      <c r="C17" s="40" t="s">
        <v>261</v>
      </c>
      <c r="D17" s="40" t="s">
        <v>37</v>
      </c>
      <c r="E17" s="39" t="s">
        <v>262</v>
      </c>
    </row>
    <row r="18" customFormat="false" ht="15" hidden="false" customHeight="true" outlineLevel="0" collapsed="false">
      <c r="A18" s="39" t="s">
        <v>263</v>
      </c>
      <c r="B18" s="40" t="s">
        <v>147</v>
      </c>
      <c r="C18" s="40" t="s">
        <v>264</v>
      </c>
      <c r="D18" s="40" t="s">
        <v>105</v>
      </c>
      <c r="E18" s="39" t="s">
        <v>265</v>
      </c>
    </row>
    <row r="19" customFormat="false" ht="15" hidden="false" customHeight="true" outlineLevel="0" collapsed="false">
      <c r="A19" s="39" t="s">
        <v>266</v>
      </c>
      <c r="B19" s="40" t="s">
        <v>147</v>
      </c>
      <c r="C19" s="40" t="s">
        <v>267</v>
      </c>
      <c r="D19" s="40" t="s">
        <v>62</v>
      </c>
      <c r="E19" s="39" t="s">
        <v>268</v>
      </c>
    </row>
    <row r="20" customFormat="false" ht="15" hidden="false" customHeight="true" outlineLevel="0" collapsed="false">
      <c r="A20" s="39" t="s">
        <v>269</v>
      </c>
      <c r="B20" s="40" t="s">
        <v>147</v>
      </c>
      <c r="C20" s="40" t="s">
        <v>270</v>
      </c>
      <c r="D20" s="40" t="s">
        <v>62</v>
      </c>
      <c r="E20" s="39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2026-10-08T14:40:05Z</dcterms:created>
  <dc:creator>openpyxl</dc:creator>
  <dc:description/>
  <dc:language>en-US</dc:language>
  <cp:lastModifiedBy>FLINSTON STEVE</cp:lastModifiedBy>
  <dcterms:modified xsi:type="dcterms:W3CDTF">2026-10-31T09:04:05Z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